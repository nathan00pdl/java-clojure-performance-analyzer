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Raw Data" sheetId="1" r:id="rId4"/>
    <sheet state="visible" name="2. General Statistical Analysis" sheetId="2" r:id="rId5"/>
    <sheet state="visible" name="3. Statistical Analysis Without" sheetId="3" r:id="rId6"/>
    <sheet state="visible" name="4. Performance Analysis" sheetId="4" r:id="rId7"/>
  </sheets>
  <definedNames>
    <definedName hidden="1" localSheetId="0" name="_xlnm._FilterDatabase">'1. Raw Data'!$A$1:$AF$55</definedName>
    <definedName hidden="1" localSheetId="1" name="_xlnm._FilterDatabase">'2. General Statistical Analysis'!$A$1:$N$13</definedName>
    <definedName hidden="1" localSheetId="2" name="_xlnm._FilterDatabase">'3. Statistical Analysis Without'!$A$1:$N$13</definedName>
  </definedNames>
  <calcPr/>
  <extLst>
    <ext uri="GoogleSheetsCustomDataVersion2">
      <go:sheetsCustomData xmlns:go="http://customooxmlschemas.google.com/" r:id="rId8" roundtripDataChecksum="7KKe1f2YHEa/NdQJts1WSpdUOj3olreOJtNbRsvQALM="/>
    </ext>
  </extLst>
</workbook>
</file>

<file path=xl/sharedStrings.xml><?xml version="1.0" encoding="utf-8"?>
<sst xmlns="http://schemas.openxmlformats.org/spreadsheetml/2006/main" count="246" uniqueCount="72">
  <si>
    <t>Load</t>
  </si>
  <si>
    <t>Metric</t>
  </si>
  <si>
    <t>Java AVG</t>
  </si>
  <si>
    <t>Idiomatic AVG</t>
  </si>
  <si>
    <t>Interop AVG</t>
  </si>
  <si>
    <t>IMPL</t>
  </si>
  <si>
    <t>Best AVG</t>
  </si>
  <si>
    <t>Java STD DEV</t>
  </si>
  <si>
    <t>Idiomatic STD DEV</t>
  </si>
  <si>
    <t>Interop STD DEV</t>
  </si>
  <si>
    <t>Best STD DEV</t>
  </si>
  <si>
    <t>Java CV%</t>
  </si>
  <si>
    <t>Idiomatic CV%</t>
  </si>
  <si>
    <t>Time of tests (min)</t>
  </si>
  <si>
    <t>Interop CV%</t>
  </si>
  <si>
    <t>Total Requests</t>
  </si>
  <si>
    <t>Best CV%</t>
  </si>
  <si>
    <t>Success Requests</t>
  </si>
  <si>
    <t>Failed Requests</t>
  </si>
  <si>
    <t xml:space="preserve">Error Rate (%) </t>
  </si>
  <si>
    <t>Req/Sec</t>
  </si>
  <si>
    <t>Min (ms)</t>
  </si>
  <si>
    <t>Mean (ms)</t>
  </si>
  <si>
    <t>Max (ms)</t>
  </si>
  <si>
    <t>Stdard Deviation (ms)</t>
  </si>
  <si>
    <t>100</t>
  </si>
  <si>
    <t>P50 (ms)</t>
  </si>
  <si>
    <t>P75 (ms)</t>
  </si>
  <si>
    <t>P95 (ms)</t>
  </si>
  <si>
    <t>P99 (ms)</t>
  </si>
  <si>
    <t>GC Time (ms)</t>
  </si>
  <si>
    <t>GC Collections</t>
  </si>
  <si>
    <t>Heap Peak (GB)</t>
  </si>
  <si>
    <t>Heap Peak (%)</t>
  </si>
  <si>
    <t>CPU Peak (%)</t>
  </si>
  <si>
    <t>&lt; 800ms</t>
  </si>
  <si>
    <t>800-1200ms</t>
  </si>
  <si>
    <t>&gt; 1200ms</t>
  </si>
  <si>
    <t>&lt; 800ms (%)</t>
  </si>
  <si>
    <t>800-1200ms (%)</t>
  </si>
  <si>
    <t>&gt; 1200ms (%)</t>
  </si>
  <si>
    <t xml:space="preserve">Total Requests Prometheus </t>
  </si>
  <si>
    <t>Delta Gatling Prometheus</t>
  </si>
  <si>
    <t>Sync Status</t>
  </si>
  <si>
    <t>Error Status</t>
  </si>
  <si>
    <t>Timestamp</t>
  </si>
  <si>
    <t>Java</t>
  </si>
  <si>
    <t>DRAW</t>
  </si>
  <si>
    <t>GOOD</t>
  </si>
  <si>
    <t>EXCELLENT</t>
  </si>
  <si>
    <t>Interop</t>
  </si>
  <si>
    <t>500</t>
  </si>
  <si>
    <t>Idiomatic</t>
  </si>
  <si>
    <t>1000</t>
  </si>
  <si>
    <t>HIGH</t>
  </si>
  <si>
    <t>Clojure-Idiomatic</t>
  </si>
  <si>
    <t>Clojure-Interop</t>
  </si>
  <si>
    <t>Java AVG (tab 2)</t>
  </si>
  <si>
    <t>Idiomatic AVG (tab 2)</t>
  </si>
  <si>
    <t>Interop AVG (tab 2)</t>
  </si>
  <si>
    <t>Best</t>
  </si>
  <si>
    <t>Δ</t>
  </si>
  <si>
    <t>Dimension</t>
  </si>
  <si>
    <t>P95 Latency</t>
  </si>
  <si>
    <t>P99 Latency</t>
  </si>
  <si>
    <t>GC Overhead</t>
  </si>
  <si>
    <t>REQUEST BODY</t>
  </si>
  <si>
    <t>{</t>
  </si>
  <si>
    <t>"initialAmount": 10000.0,</t>
  </si>
  <si>
    <t>"annualInterestRate": 10.0,</t>
  </si>
  <si>
    <t>"years": 100</t>
  </si>
  <si>
    <t>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</si>
</sst>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h:mm:ss"/>
    <numFmt numFmtId="165" formatCode="0.000"/>
  </numFmts>
  <fonts count="13">
    <font>
      <sz val="11.0"/>
      <color theme="1"/>
      <name val="Calibri"/>
      <scheme val="minor"/>
    </font>
    <font>
      <b/>
      <sz val="13.0"/>
      <color rgb="FFFFFFFF"/>
      <name val="Times New Roman"/>
    </font>
    <font>
      <b/>
      <sz val="13.0"/>
      <color rgb="FF000000"/>
      <name val="Times New Roman"/>
    </font>
    <font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sz val="12.0"/>
      <color rgb="FFFF0000"/>
      <name val="Times New Roman"/>
    </font>
    <font/>
    <font>
      <b/>
      <sz val="12.0"/>
      <color rgb="FF0000FF"/>
      <name val="Times New Roman"/>
    </font>
    <font>
      <b/>
      <color theme="1"/>
      <name val="Times New Roman"/>
    </font>
    <font>
      <color rgb="FF1F1F1F"/>
      <name val="Times New Roman"/>
    </font>
    <font>
      <sz val="11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3" numFmtId="0" xfId="0" applyFont="1"/>
    <xf borderId="2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1" fillId="4" fontId="5" numFmtId="4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shrinkToFit="0" vertical="center" wrapText="1"/>
    </xf>
    <xf borderId="1" fillId="4" fontId="5" numFmtId="4" xfId="0" applyAlignment="1" applyBorder="1" applyFont="1" applyNumberFormat="1">
      <alignment horizontal="center" vertical="center"/>
    </xf>
    <xf borderId="2" fillId="4" fontId="6" numFmtId="0" xfId="0" applyAlignment="1" applyBorder="1" applyFont="1">
      <alignment horizontal="center" readingOrder="0" vertical="center"/>
    </xf>
    <xf borderId="2" fillId="4" fontId="5" numFmtId="3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2" fillId="4" fontId="5" numFmtId="3" xfId="0" applyAlignment="1" applyBorder="1" applyFont="1" applyNumberFormat="1">
      <alignment horizontal="center" readingOrder="0" vertical="center"/>
    </xf>
    <xf borderId="1" fillId="4" fontId="5" numFmtId="3" xfId="0" applyAlignment="1" applyBorder="1" applyFont="1" applyNumberFormat="1">
      <alignment horizontal="center" vertical="center"/>
    </xf>
    <xf borderId="1" fillId="4" fontId="7" numFmtId="4" xfId="0" applyAlignment="1" applyBorder="1" applyFont="1" applyNumberFormat="1">
      <alignment horizontal="center" readingOrder="0" vertical="center"/>
    </xf>
    <xf borderId="5" fillId="0" fontId="8" numFmtId="0" xfId="0" applyBorder="1" applyFont="1"/>
    <xf borderId="2" fillId="4" fontId="5" numFmtId="0" xfId="0" applyAlignment="1" applyBorder="1" applyFont="1">
      <alignment horizontal="center" vertical="center"/>
    </xf>
    <xf borderId="1" fillId="4" fontId="5" numFmtId="164" xfId="0" applyAlignment="1" applyBorder="1" applyFont="1" applyNumberFormat="1">
      <alignment horizontal="center" readingOrder="0" vertical="center"/>
    </xf>
    <xf borderId="1" fillId="4" fontId="5" numFmtId="3" xfId="0" applyAlignment="1" applyBorder="1" applyFont="1" applyNumberFormat="1">
      <alignment horizontal="center" readingOrder="0" vertical="center"/>
    </xf>
    <xf borderId="1" fillId="4" fontId="7" numFmtId="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6" fillId="0" fontId="8" numFmtId="0" xfId="0" applyBorder="1" applyFont="1"/>
    <xf borderId="2" fillId="5" fontId="4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5" numFmtId="4" xfId="0" applyAlignment="1" applyBorder="1" applyFont="1" applyNumberFormat="1">
      <alignment horizontal="center" vertical="center"/>
    </xf>
    <xf borderId="1" fillId="5" fontId="7" numFmtId="4" xfId="0" applyAlignment="1" applyBorder="1" applyFont="1" applyNumberFormat="1">
      <alignment horizontal="center" readingOrder="0" vertical="center"/>
    </xf>
    <xf borderId="1" fillId="5" fontId="5" numFmtId="4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5" fontId="7" numFmtId="4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6" fontId="6" numFmtId="3" xfId="0" applyAlignment="1" applyBorder="1" applyFill="1" applyFont="1" applyNumberFormat="1">
      <alignment horizontal="center" readingOrder="0" vertical="center"/>
    </xf>
    <xf borderId="1" fillId="6" fontId="6" numFmtId="3" xfId="0" applyAlignment="1" applyBorder="1" applyFont="1" applyNumberFormat="1">
      <alignment horizontal="center" vertical="center"/>
    </xf>
    <xf borderId="1" fillId="6" fontId="6" numFmtId="4" xfId="0" applyAlignment="1" applyBorder="1" applyFont="1" applyNumberFormat="1">
      <alignment horizontal="center" vertical="center"/>
    </xf>
    <xf borderId="1" fillId="6" fontId="6" numFmtId="0" xfId="0" applyAlignment="1" applyBorder="1" applyFont="1">
      <alignment horizontal="center" vertical="center"/>
    </xf>
    <xf borderId="1" fillId="6" fontId="6" numFmtId="164" xfId="0" applyAlignment="1" applyBorder="1" applyFont="1" applyNumberFormat="1">
      <alignment horizontal="center" readingOrder="0" vertical="center"/>
    </xf>
    <xf borderId="2" fillId="5" fontId="6" numFmtId="0" xfId="0" applyAlignment="1" applyBorder="1" applyFont="1">
      <alignment horizontal="center" readingOrder="0" vertical="center"/>
    </xf>
    <xf borderId="2" fillId="5" fontId="5" numFmtId="3" xfId="0" applyAlignment="1" applyBorder="1" applyFont="1" applyNumberFormat="1">
      <alignment horizontal="center" vertical="center"/>
    </xf>
    <xf borderId="2" fillId="5" fontId="5" numFmtId="3" xfId="0" applyAlignment="1" applyBorder="1" applyFont="1" applyNumberFormat="1">
      <alignment horizontal="center" readingOrder="0" vertical="center"/>
    </xf>
    <xf borderId="1" fillId="5" fontId="5" numFmtId="3" xfId="0" applyAlignment="1" applyBorder="1" applyFont="1" applyNumberFormat="1">
      <alignment horizontal="center" vertical="center"/>
    </xf>
    <xf borderId="2" fillId="5" fontId="5" numFmtId="0" xfId="0" applyAlignment="1" applyBorder="1" applyFont="1">
      <alignment horizontal="center" vertical="center"/>
    </xf>
    <xf borderId="1" fillId="5" fontId="5" numFmtId="164" xfId="0" applyAlignment="1" applyBorder="1" applyFont="1" applyNumberFormat="1">
      <alignment horizontal="center" readingOrder="0" vertical="center"/>
    </xf>
    <xf borderId="1" fillId="5" fontId="5" numFmtId="3" xfId="0" applyAlignment="1" applyBorder="1" applyFont="1" applyNumberFormat="1">
      <alignment horizontal="center" readingOrder="0" vertical="center"/>
    </xf>
    <xf borderId="1" fillId="7" fontId="6" numFmtId="3" xfId="0" applyAlignment="1" applyBorder="1" applyFill="1" applyFont="1" applyNumberFormat="1">
      <alignment horizontal="center" readingOrder="0" vertical="center"/>
    </xf>
    <xf borderId="1" fillId="7" fontId="6" numFmtId="3" xfId="0" applyAlignment="1" applyBorder="1" applyFont="1" applyNumberFormat="1">
      <alignment horizontal="center" vertical="center"/>
    </xf>
    <xf borderId="1" fillId="7" fontId="6" numFmtId="4" xfId="0" applyAlignment="1" applyBorder="1" applyFont="1" applyNumberFormat="1">
      <alignment horizontal="center" readingOrder="0" vertical="center"/>
    </xf>
    <xf borderId="1" fillId="7" fontId="6" numFmtId="4" xfId="0" applyAlignment="1" applyBorder="1" applyFont="1" applyNumberFormat="1">
      <alignment horizontal="center" vertical="center"/>
    </xf>
    <xf borderId="1" fillId="7" fontId="6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3" fontId="5" numFmtId="4" xfId="0" applyAlignment="1" applyBorder="1" applyFont="1" applyNumberFormat="1">
      <alignment horizontal="center" readingOrder="0" vertical="center"/>
    </xf>
    <xf borderId="1" fillId="3" fontId="5" numFmtId="4" xfId="0" applyAlignment="1" applyBorder="1" applyFont="1" applyNumberFormat="1">
      <alignment horizontal="center" vertical="center"/>
    </xf>
    <xf borderId="1" fillId="3" fontId="4" numFmtId="4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3" fontId="4" numFmtId="4" xfId="0" applyAlignment="1" applyBorder="1" applyFont="1" applyNumberFormat="1">
      <alignment horizontal="center" vertical="center"/>
    </xf>
    <xf borderId="1" fillId="4" fontId="9" numFmtId="4" xfId="0" applyAlignment="1" applyBorder="1" applyFont="1" applyNumberFormat="1">
      <alignment horizontal="center" vertical="center"/>
    </xf>
    <xf borderId="6" fillId="3" fontId="4" numFmtId="4" xfId="0" applyAlignment="1" applyBorder="1" applyFont="1" applyNumberFormat="1">
      <alignment horizontal="center" readingOrder="0" vertical="center"/>
    </xf>
    <xf borderId="1" fillId="5" fontId="9" numFmtId="4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4" fontId="9" numFmtId="4" xfId="0" applyAlignment="1" applyBorder="1" applyFont="1" applyNumberFormat="1">
      <alignment horizontal="center" readingOrder="0" vertical="center"/>
    </xf>
    <xf borderId="0" fillId="0" fontId="3" numFmtId="165" xfId="0" applyFont="1" applyNumberFormat="1"/>
    <xf borderId="0" fillId="0" fontId="3" numFmtId="0" xfId="0" applyAlignment="1" applyFont="1">
      <alignment horizontal="center"/>
    </xf>
    <xf borderId="1" fillId="3" fontId="10" numFmtId="0" xfId="0" applyAlignment="1" applyBorder="1" applyFont="1">
      <alignment horizontal="center" readingOrder="0"/>
    </xf>
    <xf borderId="0" fillId="0" fontId="11" numFmtId="0" xfId="0" applyAlignment="1" applyFont="1">
      <alignment horizontal="center"/>
    </xf>
    <xf borderId="1" fillId="3" fontId="1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3.86"/>
    <col customWidth="1" min="2" max="2" width="9.57"/>
    <col customWidth="1" min="3" max="3" width="23.86"/>
    <col customWidth="1" min="4" max="4" width="19.57"/>
    <col customWidth="1" min="5" max="5" width="22.14"/>
    <col customWidth="1" min="6" max="6" width="20.71"/>
    <col customWidth="1" min="7" max="7" width="20.43"/>
    <col customWidth="1" min="8" max="8" width="12.57"/>
    <col customWidth="1" min="9" max="9" width="13.71"/>
    <col customWidth="1" min="10" max="10" width="15.29"/>
    <col customWidth="1" min="11" max="11" width="14.14"/>
    <col customWidth="1" min="12" max="12" width="27.43"/>
    <col customWidth="1" min="13" max="16" width="13.29"/>
    <col customWidth="1" min="17" max="17" width="19.14"/>
    <col customWidth="1" min="18" max="18" width="20.0"/>
    <col customWidth="1" min="19" max="19" width="21.29"/>
    <col customWidth="1" min="20" max="20" width="20.29"/>
    <col customWidth="1" min="21" max="21" width="19.71"/>
    <col customWidth="1" hidden="1" min="22" max="22" width="12.71"/>
    <col customWidth="1" hidden="1" min="23" max="23" width="16.57"/>
    <col customWidth="1" hidden="1" min="24" max="24" width="14.0"/>
    <col customWidth="1" hidden="1" min="25" max="25" width="17.57"/>
    <col customWidth="1" hidden="1" min="26" max="26" width="21.29"/>
    <col customWidth="1" hidden="1" min="27" max="27" width="18.71"/>
    <col customWidth="1" min="28" max="28" width="19.57"/>
    <col customWidth="1" min="29" max="29" width="18.29"/>
    <col customWidth="1" min="30" max="30" width="16.29"/>
    <col customWidth="1" min="31" max="31" width="17.43"/>
    <col customWidth="1" min="32" max="32" width="20.57"/>
  </cols>
  <sheetData>
    <row r="1" ht="36.75" customHeight="1">
      <c r="A1" s="3" t="s">
        <v>5</v>
      </c>
      <c r="B1" s="1" t="s">
        <v>0</v>
      </c>
      <c r="C1" s="1" t="s">
        <v>13</v>
      </c>
      <c r="D1" s="3" t="s">
        <v>15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7" t="s">
        <v>38</v>
      </c>
      <c r="Z1" s="7" t="s">
        <v>39</v>
      </c>
      <c r="AA1" s="7" t="s">
        <v>40</v>
      </c>
      <c r="AB1" s="8" t="s">
        <v>41</v>
      </c>
      <c r="AC1" s="8" t="s">
        <v>42</v>
      </c>
      <c r="AD1" s="7" t="s">
        <v>43</v>
      </c>
      <c r="AE1" s="10" t="s">
        <v>44</v>
      </c>
      <c r="AF1" s="7" t="s">
        <v>45</v>
      </c>
    </row>
    <row r="2" ht="18.0" customHeight="1">
      <c r="A2" s="12" t="s">
        <v>46</v>
      </c>
      <c r="B2" s="13">
        <v>100.0</v>
      </c>
      <c r="C2" s="15">
        <v>5.0</v>
      </c>
      <c r="D2" s="15">
        <v>30000.0</v>
      </c>
      <c r="E2" s="15">
        <v>30000.0</v>
      </c>
      <c r="F2" s="13">
        <v>0.0</v>
      </c>
      <c r="G2" s="13">
        <v>0.0</v>
      </c>
      <c r="H2" s="13">
        <v>100.0</v>
      </c>
      <c r="I2" s="13">
        <v>0.0</v>
      </c>
      <c r="J2" s="13">
        <v>2.0</v>
      </c>
      <c r="K2" s="16">
        <v>94.0</v>
      </c>
      <c r="L2" s="16">
        <v>2.0</v>
      </c>
      <c r="M2" s="13">
        <v>2.0</v>
      </c>
      <c r="N2" s="13">
        <v>2.0</v>
      </c>
      <c r="O2" s="16">
        <v>3.0</v>
      </c>
      <c r="P2" s="13">
        <v>4.0</v>
      </c>
      <c r="Q2" s="16">
        <v>0.0</v>
      </c>
      <c r="R2" s="16">
        <v>0.0</v>
      </c>
      <c r="S2" s="11">
        <v>0.91</v>
      </c>
      <c r="T2" s="11">
        <v>15.0</v>
      </c>
      <c r="U2" s="11">
        <v>40.02</v>
      </c>
      <c r="V2" s="16">
        <v>30000.0</v>
      </c>
      <c r="W2" s="16">
        <v>0.0</v>
      </c>
      <c r="X2" s="16">
        <v>0.0</v>
      </c>
      <c r="Y2" s="16">
        <v>100.0</v>
      </c>
      <c r="Z2" s="16">
        <v>0.0</v>
      </c>
      <c r="AA2" s="16">
        <v>0.0</v>
      </c>
      <c r="AB2" s="16">
        <v>30079.0</v>
      </c>
      <c r="AC2" s="16">
        <f t="shared" ref="AC2:AC5" si="1">AB2-D2</f>
        <v>79</v>
      </c>
      <c r="AD2" s="19" t="s">
        <v>48</v>
      </c>
      <c r="AE2" s="19" t="s">
        <v>49</v>
      </c>
      <c r="AF2" s="20">
        <v>46005.79482638889</v>
      </c>
    </row>
    <row r="3" ht="18.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6">
        <v>100.0</v>
      </c>
      <c r="L3" s="16">
        <v>1.0</v>
      </c>
      <c r="M3" s="18"/>
      <c r="N3" s="18"/>
      <c r="O3" s="16">
        <v>2.0</v>
      </c>
      <c r="P3" s="18"/>
      <c r="Q3" s="16">
        <v>0.0</v>
      </c>
      <c r="R3" s="16">
        <v>0.0</v>
      </c>
      <c r="S3" s="11">
        <v>1.58</v>
      </c>
      <c r="T3" s="11">
        <v>26.0</v>
      </c>
      <c r="U3" s="11">
        <v>41.77</v>
      </c>
      <c r="V3" s="16">
        <v>30000.0</v>
      </c>
      <c r="W3" s="16">
        <v>0.0</v>
      </c>
      <c r="X3" s="16">
        <v>0.0</v>
      </c>
      <c r="Y3" s="16">
        <v>100.0</v>
      </c>
      <c r="Z3" s="21">
        <v>0.0</v>
      </c>
      <c r="AA3" s="16">
        <v>0.0</v>
      </c>
      <c r="AB3" s="16">
        <v>30078.0</v>
      </c>
      <c r="AC3" s="16">
        <f t="shared" si="1"/>
        <v>30078</v>
      </c>
      <c r="AD3" s="18"/>
      <c r="AE3" s="18"/>
      <c r="AF3" s="20">
        <v>46005.80479166667</v>
      </c>
    </row>
    <row r="4" ht="18.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6">
        <v>243.0</v>
      </c>
      <c r="L4" s="16">
        <v>4.0</v>
      </c>
      <c r="M4" s="18"/>
      <c r="N4" s="18"/>
      <c r="O4" s="16">
        <v>2.0</v>
      </c>
      <c r="P4" s="18"/>
      <c r="Q4" s="16">
        <v>34.0</v>
      </c>
      <c r="R4" s="16">
        <v>2.0</v>
      </c>
      <c r="S4" s="11">
        <v>1.0</v>
      </c>
      <c r="T4" s="11">
        <v>16.0</v>
      </c>
      <c r="U4" s="11">
        <v>54.3</v>
      </c>
      <c r="V4" s="16">
        <v>30000.0</v>
      </c>
      <c r="W4" s="16">
        <v>0.0</v>
      </c>
      <c r="X4" s="16">
        <v>0.0</v>
      </c>
      <c r="Y4" s="16">
        <v>100.0</v>
      </c>
      <c r="Z4" s="16">
        <v>0.0</v>
      </c>
      <c r="AA4" s="16">
        <v>0.0</v>
      </c>
      <c r="AB4" s="16">
        <v>30077.0</v>
      </c>
      <c r="AC4" s="16">
        <f t="shared" si="1"/>
        <v>30077</v>
      </c>
      <c r="AD4" s="18"/>
      <c r="AE4" s="18"/>
      <c r="AF4" s="20">
        <v>46005.81303240741</v>
      </c>
    </row>
    <row r="5" ht="18.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6">
        <v>116.0</v>
      </c>
      <c r="L5" s="16">
        <v>2.0</v>
      </c>
      <c r="M5" s="18"/>
      <c r="N5" s="18"/>
      <c r="O5" s="16">
        <v>2.0</v>
      </c>
      <c r="P5" s="18"/>
      <c r="Q5" s="16">
        <v>32.0</v>
      </c>
      <c r="R5" s="16">
        <v>2.0</v>
      </c>
      <c r="S5" s="11">
        <v>1.0</v>
      </c>
      <c r="T5" s="11">
        <v>16.0</v>
      </c>
      <c r="U5" s="11">
        <v>43.39</v>
      </c>
      <c r="V5" s="16">
        <v>30000.0</v>
      </c>
      <c r="W5" s="16">
        <v>0.0</v>
      </c>
      <c r="X5" s="16">
        <v>0.0</v>
      </c>
      <c r="Y5" s="16">
        <v>100.0</v>
      </c>
      <c r="Z5" s="16">
        <v>0.0</v>
      </c>
      <c r="AA5" s="16">
        <v>0.0</v>
      </c>
      <c r="AB5" s="16">
        <v>30077.0</v>
      </c>
      <c r="AC5" s="16">
        <f t="shared" si="1"/>
        <v>30077</v>
      </c>
      <c r="AD5" s="18"/>
      <c r="AE5" s="18"/>
      <c r="AF5" s="20">
        <v>46005.82133101852</v>
      </c>
    </row>
    <row r="6" ht="18.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21">
        <v>96.0</v>
      </c>
      <c r="L6" s="16">
        <v>2.0</v>
      </c>
      <c r="M6" s="18"/>
      <c r="N6" s="18"/>
      <c r="O6" s="21">
        <v>3.0</v>
      </c>
      <c r="P6" s="18"/>
      <c r="Q6" s="16">
        <v>0.0</v>
      </c>
      <c r="R6" s="16">
        <v>0.0</v>
      </c>
      <c r="S6" s="11">
        <v>0.91</v>
      </c>
      <c r="T6" s="11">
        <v>15.0</v>
      </c>
      <c r="U6" s="11">
        <v>35.23</v>
      </c>
      <c r="V6" s="16">
        <v>30000.0</v>
      </c>
      <c r="W6" s="16">
        <v>0.0</v>
      </c>
      <c r="X6" s="16">
        <v>0.0</v>
      </c>
      <c r="Y6" s="16">
        <v>100.0</v>
      </c>
      <c r="Z6" s="16">
        <v>0.0</v>
      </c>
      <c r="AA6" s="16">
        <v>0.0</v>
      </c>
      <c r="AB6" s="16">
        <v>30077.0</v>
      </c>
      <c r="AC6" s="16">
        <f>D6-AB6</f>
        <v>-30077</v>
      </c>
      <c r="AD6" s="18"/>
      <c r="AE6" s="18"/>
      <c r="AF6" s="20">
        <v>46005.83023148148</v>
      </c>
    </row>
    <row r="7" ht="18.0" customHeight="1">
      <c r="A7" s="18"/>
      <c r="B7" s="24"/>
      <c r="C7" s="24"/>
      <c r="D7" s="24"/>
      <c r="E7" s="24"/>
      <c r="F7" s="24"/>
      <c r="G7" s="24"/>
      <c r="H7" s="24"/>
      <c r="I7" s="24"/>
      <c r="J7" s="24"/>
      <c r="K7" s="21">
        <v>105.0</v>
      </c>
      <c r="L7" s="16">
        <v>2.0</v>
      </c>
      <c r="M7" s="24"/>
      <c r="N7" s="24"/>
      <c r="O7" s="16">
        <v>3.0</v>
      </c>
      <c r="P7" s="24"/>
      <c r="Q7" s="16">
        <v>0.0</v>
      </c>
      <c r="R7" s="16">
        <v>0.0</v>
      </c>
      <c r="S7" s="11">
        <v>0.98</v>
      </c>
      <c r="T7" s="11">
        <v>16.0</v>
      </c>
      <c r="U7" s="11">
        <v>46.81</v>
      </c>
      <c r="V7" s="16">
        <v>30000.0</v>
      </c>
      <c r="W7" s="16">
        <v>0.0</v>
      </c>
      <c r="X7" s="16">
        <v>0.0</v>
      </c>
      <c r="Y7" s="16">
        <v>100.0</v>
      </c>
      <c r="Z7" s="16">
        <v>0.0</v>
      </c>
      <c r="AA7" s="16">
        <v>0.0</v>
      </c>
      <c r="AB7" s="16">
        <v>30077.0</v>
      </c>
      <c r="AC7" s="16">
        <f t="shared" ref="AC7:AC55" si="2">AB7-D7</f>
        <v>30077</v>
      </c>
      <c r="AD7" s="24"/>
      <c r="AE7" s="24"/>
      <c r="AF7" s="20">
        <v>46005.8387037037</v>
      </c>
    </row>
    <row r="8" ht="18.0" customHeight="1">
      <c r="A8" s="18"/>
      <c r="B8" s="13">
        <v>500.0</v>
      </c>
      <c r="C8" s="15">
        <v>5.0</v>
      </c>
      <c r="D8" s="15">
        <v>150000.0</v>
      </c>
      <c r="E8" s="15">
        <v>150000.0</v>
      </c>
      <c r="F8" s="13">
        <v>0.0</v>
      </c>
      <c r="G8" s="13">
        <v>0.0</v>
      </c>
      <c r="H8" s="13">
        <v>500.0</v>
      </c>
      <c r="I8" s="13">
        <v>0.0</v>
      </c>
      <c r="J8" s="16">
        <v>138.0</v>
      </c>
      <c r="K8" s="21">
        <v>9407.0</v>
      </c>
      <c r="L8" s="16">
        <v>594.0</v>
      </c>
      <c r="M8" s="13">
        <v>1.0</v>
      </c>
      <c r="N8" s="13">
        <v>1.0</v>
      </c>
      <c r="O8" s="21">
        <v>1036.0</v>
      </c>
      <c r="P8" s="21">
        <v>3100.0</v>
      </c>
      <c r="Q8" s="16">
        <v>143.0</v>
      </c>
      <c r="R8" s="16">
        <v>5.0</v>
      </c>
      <c r="S8" s="11">
        <v>2.35</v>
      </c>
      <c r="T8" s="11">
        <v>39.0</v>
      </c>
      <c r="U8" s="11">
        <v>86.23</v>
      </c>
      <c r="V8" s="16">
        <v>140937.0</v>
      </c>
      <c r="W8" s="16">
        <v>2188.0</v>
      </c>
      <c r="X8" s="16">
        <v>6875.0</v>
      </c>
      <c r="Y8" s="16">
        <v>94.0</v>
      </c>
      <c r="Z8" s="16">
        <v>1.0</v>
      </c>
      <c r="AA8" s="16">
        <v>5.0</v>
      </c>
      <c r="AB8" s="16">
        <v>150078.0</v>
      </c>
      <c r="AC8" s="16">
        <f t="shared" si="2"/>
        <v>78</v>
      </c>
      <c r="AD8" s="19" t="s">
        <v>49</v>
      </c>
      <c r="AE8" s="19" t="s">
        <v>49</v>
      </c>
      <c r="AF8" s="20">
        <v>46007.26917824074</v>
      </c>
    </row>
    <row r="9" ht="18.0" customHeight="1">
      <c r="A9" s="18"/>
      <c r="B9" s="18"/>
      <c r="C9" s="18"/>
      <c r="D9" s="18"/>
      <c r="E9" s="18"/>
      <c r="F9" s="18"/>
      <c r="G9" s="18"/>
      <c r="H9" s="18"/>
      <c r="I9" s="18"/>
      <c r="J9" s="16">
        <v>54.0</v>
      </c>
      <c r="K9" s="21">
        <v>5586.0</v>
      </c>
      <c r="L9" s="16">
        <v>329.0</v>
      </c>
      <c r="M9" s="18"/>
      <c r="N9" s="18"/>
      <c r="O9" s="16">
        <v>3.0</v>
      </c>
      <c r="P9" s="21">
        <v>1725.0</v>
      </c>
      <c r="Q9" s="16">
        <v>232.0</v>
      </c>
      <c r="R9" s="16">
        <v>5.0</v>
      </c>
      <c r="S9" s="11">
        <v>2.35</v>
      </c>
      <c r="T9" s="11">
        <v>39.0</v>
      </c>
      <c r="U9" s="11">
        <v>66.07</v>
      </c>
      <c r="V9" s="16">
        <v>146256.0</v>
      </c>
      <c r="W9" s="16">
        <v>1118.0</v>
      </c>
      <c r="X9" s="16">
        <v>2626.0</v>
      </c>
      <c r="Y9" s="16">
        <v>98.0</v>
      </c>
      <c r="Z9" s="16">
        <v>1.0</v>
      </c>
      <c r="AA9" s="16">
        <v>2.0</v>
      </c>
      <c r="AB9" s="16">
        <v>150080.0</v>
      </c>
      <c r="AC9" s="16">
        <f t="shared" si="2"/>
        <v>150080</v>
      </c>
      <c r="AD9" s="18"/>
      <c r="AE9" s="18"/>
      <c r="AF9" s="20">
        <v>46007.278020833335</v>
      </c>
    </row>
    <row r="10" ht="18.0" customHeight="1">
      <c r="A10" s="18"/>
      <c r="B10" s="18"/>
      <c r="C10" s="18"/>
      <c r="D10" s="18"/>
      <c r="E10" s="18"/>
      <c r="F10" s="18"/>
      <c r="G10" s="18"/>
      <c r="H10" s="18"/>
      <c r="I10" s="18"/>
      <c r="J10" s="16">
        <v>26.0</v>
      </c>
      <c r="K10" s="21">
        <v>3803.0</v>
      </c>
      <c r="L10" s="16">
        <v>183.0</v>
      </c>
      <c r="M10" s="18"/>
      <c r="N10" s="18"/>
      <c r="O10" s="16">
        <v>2.0</v>
      </c>
      <c r="P10" s="16">
        <v>909.0</v>
      </c>
      <c r="Q10" s="16">
        <v>0.0</v>
      </c>
      <c r="R10" s="16">
        <v>0.0</v>
      </c>
      <c r="S10" s="11">
        <v>2.34</v>
      </c>
      <c r="T10" s="11">
        <v>39.0</v>
      </c>
      <c r="U10" s="11">
        <v>63.75</v>
      </c>
      <c r="V10" s="16">
        <v>148250.0</v>
      </c>
      <c r="W10" s="16">
        <v>741.0</v>
      </c>
      <c r="X10" s="16">
        <v>1009.0</v>
      </c>
      <c r="Y10" s="16">
        <v>99.0</v>
      </c>
      <c r="Z10" s="16">
        <v>0.0</v>
      </c>
      <c r="AA10" s="16">
        <v>1.0</v>
      </c>
      <c r="AB10" s="16">
        <v>150078.0</v>
      </c>
      <c r="AC10" s="16">
        <f t="shared" si="2"/>
        <v>150078</v>
      </c>
      <c r="AD10" s="18"/>
      <c r="AE10" s="18"/>
      <c r="AF10" s="20">
        <v>46007.2903125</v>
      </c>
    </row>
    <row r="11" ht="18.0" customHeight="1">
      <c r="A11" s="18"/>
      <c r="B11" s="18"/>
      <c r="C11" s="18"/>
      <c r="D11" s="18"/>
      <c r="E11" s="18"/>
      <c r="F11" s="18"/>
      <c r="G11" s="18"/>
      <c r="H11" s="18"/>
      <c r="I11" s="18"/>
      <c r="J11" s="16">
        <v>488.0</v>
      </c>
      <c r="K11" s="21">
        <v>14660.0</v>
      </c>
      <c r="L11" s="21">
        <v>1595.0</v>
      </c>
      <c r="M11" s="18"/>
      <c r="N11" s="18"/>
      <c r="O11" s="21">
        <v>4696.0</v>
      </c>
      <c r="P11" s="21">
        <v>7695.0</v>
      </c>
      <c r="Q11" s="16">
        <v>0.0</v>
      </c>
      <c r="R11" s="16">
        <v>0.0</v>
      </c>
      <c r="S11" s="11">
        <v>2.37</v>
      </c>
      <c r="T11" s="11">
        <v>39.0</v>
      </c>
      <c r="U11" s="11">
        <v>80.15</v>
      </c>
      <c r="V11" s="16">
        <v>134104.0</v>
      </c>
      <c r="W11" s="16">
        <v>622.0</v>
      </c>
      <c r="X11" s="16">
        <v>15274.0</v>
      </c>
      <c r="Y11" s="16">
        <v>89.0</v>
      </c>
      <c r="Z11" s="16">
        <v>0.0</v>
      </c>
      <c r="AA11" s="16">
        <v>10.0</v>
      </c>
      <c r="AB11" s="16">
        <v>150078.0</v>
      </c>
      <c r="AC11" s="16">
        <f t="shared" si="2"/>
        <v>150078</v>
      </c>
      <c r="AD11" s="18"/>
      <c r="AE11" s="18"/>
      <c r="AF11" s="20">
        <v>46007.29913194444</v>
      </c>
    </row>
    <row r="12" ht="18.0" customHeight="1">
      <c r="A12" s="18"/>
      <c r="B12" s="18"/>
      <c r="C12" s="18"/>
      <c r="D12" s="18"/>
      <c r="E12" s="18"/>
      <c r="F12" s="18"/>
      <c r="G12" s="18"/>
      <c r="H12" s="18"/>
      <c r="I12" s="18"/>
      <c r="J12" s="16">
        <v>26.0</v>
      </c>
      <c r="K12" s="21">
        <v>4304.0</v>
      </c>
      <c r="L12" s="16">
        <v>177.0</v>
      </c>
      <c r="M12" s="18"/>
      <c r="N12" s="18"/>
      <c r="O12" s="16">
        <v>2.0</v>
      </c>
      <c r="P12" s="16">
        <v>841.0</v>
      </c>
      <c r="Q12" s="16">
        <v>0.0</v>
      </c>
      <c r="R12" s="16">
        <v>0.0</v>
      </c>
      <c r="S12" s="11">
        <v>2.27</v>
      </c>
      <c r="T12" s="11">
        <v>37.0</v>
      </c>
      <c r="U12" s="11">
        <v>67.21</v>
      </c>
      <c r="V12" s="16">
        <v>148334.0</v>
      </c>
      <c r="W12" s="16">
        <v>892.0</v>
      </c>
      <c r="X12" s="16">
        <v>774.0</v>
      </c>
      <c r="Y12" s="16">
        <v>99.0</v>
      </c>
      <c r="Z12" s="16">
        <v>1.0</v>
      </c>
      <c r="AA12" s="16">
        <v>1.0</v>
      </c>
      <c r="AB12" s="16">
        <v>150079.0</v>
      </c>
      <c r="AC12" s="16">
        <f t="shared" si="2"/>
        <v>150079</v>
      </c>
      <c r="AD12" s="18"/>
      <c r="AE12" s="18"/>
      <c r="AF12" s="20">
        <v>46007.307974537034</v>
      </c>
    </row>
    <row r="13" ht="18.0" customHeight="1">
      <c r="A13" s="18"/>
      <c r="B13" s="24"/>
      <c r="C13" s="24"/>
      <c r="D13" s="24"/>
      <c r="E13" s="24"/>
      <c r="F13" s="24"/>
      <c r="G13" s="24"/>
      <c r="H13" s="24"/>
      <c r="I13" s="24"/>
      <c r="J13" s="16">
        <v>36.0</v>
      </c>
      <c r="K13" s="21">
        <v>6301.0</v>
      </c>
      <c r="L13" s="16">
        <v>248.0</v>
      </c>
      <c r="M13" s="24"/>
      <c r="N13" s="24"/>
      <c r="O13" s="16">
        <v>3.0</v>
      </c>
      <c r="P13" s="21">
        <v>1191.0</v>
      </c>
      <c r="Q13" s="16">
        <v>102.0</v>
      </c>
      <c r="R13" s="16">
        <v>5.0</v>
      </c>
      <c r="S13" s="11">
        <v>2.27</v>
      </c>
      <c r="T13" s="11">
        <v>37.0</v>
      </c>
      <c r="U13" s="11">
        <v>65.75</v>
      </c>
      <c r="V13" s="16">
        <v>147524.0</v>
      </c>
      <c r="W13" s="16">
        <v>1016.0</v>
      </c>
      <c r="X13" s="16">
        <v>1460.0</v>
      </c>
      <c r="Y13" s="16">
        <v>98.0</v>
      </c>
      <c r="Z13" s="16">
        <v>1.0</v>
      </c>
      <c r="AA13" s="16">
        <v>1.0</v>
      </c>
      <c r="AB13" s="16">
        <v>150082.0</v>
      </c>
      <c r="AC13" s="16">
        <f t="shared" si="2"/>
        <v>150082</v>
      </c>
      <c r="AD13" s="24"/>
      <c r="AE13" s="24"/>
      <c r="AF13" s="20">
        <v>46007.31667824074</v>
      </c>
    </row>
    <row r="14" ht="18.0" customHeight="1">
      <c r="A14" s="18"/>
      <c r="B14" s="13">
        <v>1000.0</v>
      </c>
      <c r="C14" s="15">
        <v>5.0</v>
      </c>
      <c r="D14" s="15">
        <v>300000.0</v>
      </c>
      <c r="E14" s="21">
        <v>300000.0</v>
      </c>
      <c r="F14" s="16">
        <v>0.0</v>
      </c>
      <c r="G14" s="16">
        <v>0.0</v>
      </c>
      <c r="H14" s="21">
        <v>1000.0</v>
      </c>
      <c r="I14" s="16">
        <v>0.0</v>
      </c>
      <c r="J14" s="16">
        <v>543.0</v>
      </c>
      <c r="K14" s="21">
        <v>13377.0</v>
      </c>
      <c r="L14" s="21">
        <v>1786.0</v>
      </c>
      <c r="M14" s="16">
        <v>1.0</v>
      </c>
      <c r="N14" s="16">
        <v>1.0</v>
      </c>
      <c r="O14" s="21">
        <v>5106.0</v>
      </c>
      <c r="P14" s="21">
        <v>8920.0</v>
      </c>
      <c r="Q14" s="16">
        <v>0.0</v>
      </c>
      <c r="R14" s="16">
        <v>0.0</v>
      </c>
      <c r="S14" s="11">
        <v>2.33</v>
      </c>
      <c r="T14" s="11">
        <v>38.0</v>
      </c>
      <c r="U14" s="11">
        <v>84.28</v>
      </c>
      <c r="V14" s="16">
        <v>269069.0</v>
      </c>
      <c r="W14" s="16">
        <v>1639.0</v>
      </c>
      <c r="X14" s="16">
        <v>29292.0</v>
      </c>
      <c r="Y14" s="16">
        <v>90.0</v>
      </c>
      <c r="Z14" s="16">
        <v>1.0</v>
      </c>
      <c r="AA14" s="16">
        <v>10.0</v>
      </c>
      <c r="AB14" s="16">
        <v>300079.0</v>
      </c>
      <c r="AC14" s="16">
        <f t="shared" si="2"/>
        <v>79</v>
      </c>
      <c r="AD14" s="32" t="s">
        <v>49</v>
      </c>
      <c r="AE14" s="32" t="s">
        <v>49</v>
      </c>
      <c r="AF14" s="20">
        <v>46008.25646990741</v>
      </c>
    </row>
    <row r="15" ht="18.0" customHeight="1">
      <c r="A15" s="18"/>
      <c r="B15" s="18"/>
      <c r="C15" s="18"/>
      <c r="D15" s="18"/>
      <c r="E15" s="21">
        <v>300000.0</v>
      </c>
      <c r="F15" s="16">
        <v>0.0</v>
      </c>
      <c r="G15" s="16">
        <v>0.0</v>
      </c>
      <c r="H15" s="21">
        <v>1000.0</v>
      </c>
      <c r="I15" s="16">
        <v>0.0</v>
      </c>
      <c r="J15" s="16">
        <v>587.0</v>
      </c>
      <c r="K15" s="21">
        <v>15800.0</v>
      </c>
      <c r="L15" s="21">
        <v>1857.0</v>
      </c>
      <c r="M15" s="16">
        <v>1.0</v>
      </c>
      <c r="N15" s="16">
        <v>1.0</v>
      </c>
      <c r="O15" s="21">
        <v>5420.0</v>
      </c>
      <c r="P15" s="21">
        <v>9186.0</v>
      </c>
      <c r="Q15" s="16">
        <v>549.0</v>
      </c>
      <c r="R15" s="16">
        <v>11.0</v>
      </c>
      <c r="S15" s="11">
        <v>2.34</v>
      </c>
      <c r="T15" s="11">
        <v>39.0</v>
      </c>
      <c r="U15" s="11">
        <v>77.98</v>
      </c>
      <c r="V15" s="16">
        <v>265423.0</v>
      </c>
      <c r="W15" s="16">
        <v>771.0</v>
      </c>
      <c r="X15" s="16">
        <v>33806.0</v>
      </c>
      <c r="Y15" s="16">
        <v>88.0</v>
      </c>
      <c r="Z15" s="16">
        <v>0.0</v>
      </c>
      <c r="AA15" s="16">
        <v>11.0</v>
      </c>
      <c r="AB15" s="16">
        <v>300078.0</v>
      </c>
      <c r="AC15" s="16">
        <f t="shared" si="2"/>
        <v>300078</v>
      </c>
      <c r="AD15" s="32" t="s">
        <v>49</v>
      </c>
      <c r="AE15" s="32" t="s">
        <v>49</v>
      </c>
      <c r="AF15" s="20">
        <v>46008.265127314815</v>
      </c>
    </row>
    <row r="16" ht="18.0" customHeight="1">
      <c r="A16" s="18"/>
      <c r="B16" s="18"/>
      <c r="C16" s="18"/>
      <c r="D16" s="18"/>
      <c r="E16" s="21">
        <v>300000.0</v>
      </c>
      <c r="F16" s="16">
        <v>0.0</v>
      </c>
      <c r="G16" s="16">
        <v>0.0</v>
      </c>
      <c r="H16" s="21">
        <v>1000.0</v>
      </c>
      <c r="I16" s="16">
        <v>0.0</v>
      </c>
      <c r="J16" s="16">
        <v>530.0</v>
      </c>
      <c r="K16" s="21">
        <v>14482.0</v>
      </c>
      <c r="L16" s="21">
        <v>1677.0</v>
      </c>
      <c r="M16" s="16">
        <v>1.0</v>
      </c>
      <c r="N16" s="16">
        <v>1.0</v>
      </c>
      <c r="O16" s="16">
        <v>4799.0</v>
      </c>
      <c r="P16" s="21">
        <v>8148.0</v>
      </c>
      <c r="Q16" s="16">
        <v>986.0</v>
      </c>
      <c r="R16" s="16">
        <v>12.0</v>
      </c>
      <c r="S16" s="11">
        <v>2.31</v>
      </c>
      <c r="T16" s="11">
        <v>38.0</v>
      </c>
      <c r="U16" s="11">
        <v>78.97</v>
      </c>
      <c r="V16" s="16">
        <v>266612.0</v>
      </c>
      <c r="W16" s="16">
        <v>807.0</v>
      </c>
      <c r="X16" s="16">
        <v>32581.0</v>
      </c>
      <c r="Y16" s="16">
        <v>89.0</v>
      </c>
      <c r="Z16" s="16">
        <v>0.0</v>
      </c>
      <c r="AA16" s="16">
        <v>11.0</v>
      </c>
      <c r="AB16" s="16">
        <v>300078.0</v>
      </c>
      <c r="AC16" s="16">
        <f t="shared" si="2"/>
        <v>300078</v>
      </c>
      <c r="AD16" s="32" t="s">
        <v>49</v>
      </c>
      <c r="AE16" s="32" t="s">
        <v>49</v>
      </c>
      <c r="AF16" s="20">
        <v>46008.27378472222</v>
      </c>
    </row>
    <row r="17" ht="18.0" customHeight="1">
      <c r="A17" s="18"/>
      <c r="B17" s="18"/>
      <c r="C17" s="18"/>
      <c r="D17" s="18"/>
      <c r="E17" s="21">
        <v>300000.0</v>
      </c>
      <c r="F17" s="16">
        <v>0.0</v>
      </c>
      <c r="G17" s="16">
        <v>0.0</v>
      </c>
      <c r="H17" s="21">
        <v>1000.0</v>
      </c>
      <c r="I17" s="16">
        <v>0.0</v>
      </c>
      <c r="J17" s="16">
        <v>918.0</v>
      </c>
      <c r="K17" s="21">
        <v>23005.0</v>
      </c>
      <c r="L17" s="21">
        <v>2680.0</v>
      </c>
      <c r="M17" s="16">
        <v>1.0</v>
      </c>
      <c r="N17" s="16">
        <v>1.0</v>
      </c>
      <c r="O17" s="21">
        <v>6068.0</v>
      </c>
      <c r="P17" s="21">
        <v>13773.0</v>
      </c>
      <c r="Q17" s="16">
        <v>0.0</v>
      </c>
      <c r="R17" s="16">
        <v>0.0</v>
      </c>
      <c r="S17" s="11">
        <v>2.3</v>
      </c>
      <c r="T17" s="11">
        <v>38.0</v>
      </c>
      <c r="U17" s="11">
        <v>81.11</v>
      </c>
      <c r="V17" s="16">
        <v>257505.0</v>
      </c>
      <c r="W17" s="16">
        <v>576.0</v>
      </c>
      <c r="X17" s="16">
        <v>41919.0</v>
      </c>
      <c r="Y17" s="16">
        <v>86.0</v>
      </c>
      <c r="Z17" s="16">
        <v>0.0</v>
      </c>
      <c r="AA17" s="16">
        <v>14.0</v>
      </c>
      <c r="AB17" s="16">
        <v>300080.0</v>
      </c>
      <c r="AC17" s="16">
        <f t="shared" si="2"/>
        <v>300080</v>
      </c>
      <c r="AD17" s="32" t="s">
        <v>49</v>
      </c>
      <c r="AE17" s="32" t="s">
        <v>49</v>
      </c>
      <c r="AF17" s="20">
        <v>46008.282534722224</v>
      </c>
    </row>
    <row r="18" ht="18.0" customHeight="1">
      <c r="A18" s="18"/>
      <c r="B18" s="18"/>
      <c r="C18" s="18"/>
      <c r="D18" s="18"/>
      <c r="E18" s="33">
        <v>270880.0</v>
      </c>
      <c r="F18" s="33">
        <v>29120.0</v>
      </c>
      <c r="G18" s="34">
        <v>9.7</v>
      </c>
      <c r="H18" s="33">
        <v>837.989</v>
      </c>
      <c r="I18" s="34">
        <v>1.0</v>
      </c>
      <c r="J18" s="33">
        <v>27538.0</v>
      </c>
      <c r="K18" s="33">
        <v>212301.0</v>
      </c>
      <c r="L18" s="33">
        <v>35842.0</v>
      </c>
      <c r="M18" s="33">
        <v>8872.0</v>
      </c>
      <c r="N18" s="34">
        <v>46234.0</v>
      </c>
      <c r="O18" s="33">
        <v>98447.0</v>
      </c>
      <c r="P18" s="33">
        <v>148247.0</v>
      </c>
      <c r="Q18" s="33">
        <v>9555.0</v>
      </c>
      <c r="R18" s="34">
        <v>50.0</v>
      </c>
      <c r="S18" s="35">
        <v>1.2</v>
      </c>
      <c r="T18" s="35">
        <v>20.0</v>
      </c>
      <c r="U18" s="35">
        <v>72.67</v>
      </c>
      <c r="V18" s="34">
        <v>76691.0</v>
      </c>
      <c r="W18" s="34">
        <v>19734.0</v>
      </c>
      <c r="X18" s="34">
        <v>174455.0</v>
      </c>
      <c r="Y18" s="34">
        <v>26.0</v>
      </c>
      <c r="Z18" s="34">
        <v>7.0</v>
      </c>
      <c r="AA18" s="34">
        <v>58.0</v>
      </c>
      <c r="AB18" s="34">
        <v>272982.0</v>
      </c>
      <c r="AC18" s="34">
        <f t="shared" si="2"/>
        <v>272982</v>
      </c>
      <c r="AD18" s="36" t="s">
        <v>48</v>
      </c>
      <c r="AE18" s="36" t="s">
        <v>54</v>
      </c>
      <c r="AF18" s="37">
        <v>46008.291550925926</v>
      </c>
    </row>
    <row r="19" ht="18.0" customHeight="1">
      <c r="A19" s="24"/>
      <c r="B19" s="24"/>
      <c r="C19" s="24"/>
      <c r="D19" s="24"/>
      <c r="E19" s="21">
        <v>300000.0</v>
      </c>
      <c r="F19" s="16">
        <v>0.0</v>
      </c>
      <c r="G19" s="16">
        <v>0.0</v>
      </c>
      <c r="H19" s="21">
        <v>1000.0</v>
      </c>
      <c r="I19" s="16">
        <v>0.0</v>
      </c>
      <c r="J19" s="16">
        <v>545.0</v>
      </c>
      <c r="K19" s="21">
        <v>16892.0</v>
      </c>
      <c r="L19" s="21">
        <v>1827.0</v>
      </c>
      <c r="M19" s="16">
        <v>1.0</v>
      </c>
      <c r="N19" s="16">
        <v>1.0</v>
      </c>
      <c r="O19" s="21">
        <v>3997.0</v>
      </c>
      <c r="P19" s="21">
        <v>9767.0</v>
      </c>
      <c r="Q19" s="16">
        <v>0.0</v>
      </c>
      <c r="R19" s="16">
        <v>0.0</v>
      </c>
      <c r="S19" s="11">
        <v>2.37</v>
      </c>
      <c r="T19" s="11">
        <v>39.0</v>
      </c>
      <c r="U19" s="11">
        <v>78.64</v>
      </c>
      <c r="V19" s="16">
        <v>266503.0</v>
      </c>
      <c r="W19" s="16">
        <v>1423.0</v>
      </c>
      <c r="X19" s="16">
        <v>32074.0</v>
      </c>
      <c r="Y19" s="16">
        <v>89.0</v>
      </c>
      <c r="Z19" s="16">
        <v>0.0</v>
      </c>
      <c r="AA19" s="16">
        <v>11.0</v>
      </c>
      <c r="AB19" s="16">
        <v>300079.0</v>
      </c>
      <c r="AC19" s="16">
        <f t="shared" si="2"/>
        <v>300079</v>
      </c>
      <c r="AD19" s="32" t="s">
        <v>49</v>
      </c>
      <c r="AE19" s="32" t="s">
        <v>49</v>
      </c>
      <c r="AF19" s="20">
        <v>46008.300104166665</v>
      </c>
    </row>
    <row r="20" ht="18.0" customHeight="1">
      <c r="A20" s="38" t="s">
        <v>55</v>
      </c>
      <c r="B20" s="39">
        <v>100.0</v>
      </c>
      <c r="C20" s="39">
        <v>5.0</v>
      </c>
      <c r="D20" s="40">
        <v>30000.0</v>
      </c>
      <c r="E20" s="40">
        <v>30000.0</v>
      </c>
      <c r="F20" s="39">
        <v>0.0</v>
      </c>
      <c r="G20" s="39">
        <v>0.0</v>
      </c>
      <c r="H20" s="39">
        <v>100.0</v>
      </c>
      <c r="I20" s="39">
        <v>0.0</v>
      </c>
      <c r="J20" s="39">
        <v>2.0</v>
      </c>
      <c r="K20" s="41">
        <v>108.0</v>
      </c>
      <c r="L20" s="41">
        <v>2.0</v>
      </c>
      <c r="M20" s="39">
        <v>2.0</v>
      </c>
      <c r="N20" s="39">
        <v>2.0</v>
      </c>
      <c r="O20" s="41">
        <v>3.0</v>
      </c>
      <c r="P20" s="39">
        <v>4.0</v>
      </c>
      <c r="Q20" s="41">
        <v>34.0</v>
      </c>
      <c r="R20" s="41">
        <v>2.0</v>
      </c>
      <c r="S20" s="27">
        <v>1.45</v>
      </c>
      <c r="T20" s="27">
        <v>24.0</v>
      </c>
      <c r="U20" s="27">
        <v>34.58</v>
      </c>
      <c r="V20" s="41">
        <v>30000.0</v>
      </c>
      <c r="W20" s="41">
        <v>0.0</v>
      </c>
      <c r="X20" s="41">
        <v>0.0</v>
      </c>
      <c r="Y20" s="41">
        <v>100.0</v>
      </c>
      <c r="Z20" s="41">
        <v>0.0</v>
      </c>
      <c r="AA20" s="41">
        <v>0.0</v>
      </c>
      <c r="AB20" s="41">
        <v>30077.0</v>
      </c>
      <c r="AC20" s="41">
        <f t="shared" si="2"/>
        <v>77</v>
      </c>
      <c r="AD20" s="42" t="s">
        <v>48</v>
      </c>
      <c r="AE20" s="42" t="s">
        <v>49</v>
      </c>
      <c r="AF20" s="43">
        <v>46006.258622685185</v>
      </c>
    </row>
    <row r="21" ht="18.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41">
        <v>242.0</v>
      </c>
      <c r="L21" s="41">
        <v>3.0</v>
      </c>
      <c r="M21" s="18"/>
      <c r="N21" s="18"/>
      <c r="O21" s="41">
        <v>2.0</v>
      </c>
      <c r="P21" s="18"/>
      <c r="Q21" s="41">
        <v>32.0</v>
      </c>
      <c r="R21" s="41">
        <v>2.0</v>
      </c>
      <c r="S21" s="27">
        <v>1.0</v>
      </c>
      <c r="T21" s="27">
        <v>16.0</v>
      </c>
      <c r="U21" s="27">
        <v>50.32</v>
      </c>
      <c r="V21" s="41">
        <v>30000.0</v>
      </c>
      <c r="W21" s="41">
        <v>0.0</v>
      </c>
      <c r="X21" s="41">
        <v>0.0</v>
      </c>
      <c r="Y21" s="41">
        <v>100.0</v>
      </c>
      <c r="Z21" s="41">
        <v>0.0</v>
      </c>
      <c r="AA21" s="41">
        <v>0.0</v>
      </c>
      <c r="AB21" s="41">
        <v>30077.0</v>
      </c>
      <c r="AC21" s="41">
        <f t="shared" si="2"/>
        <v>30077</v>
      </c>
      <c r="AD21" s="18"/>
      <c r="AE21" s="18"/>
      <c r="AF21" s="43">
        <v>46006.26693287037</v>
      </c>
    </row>
    <row r="22" ht="18.0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41">
        <v>114.0</v>
      </c>
      <c r="L22" s="41">
        <v>2.0</v>
      </c>
      <c r="M22" s="18"/>
      <c r="N22" s="18"/>
      <c r="O22" s="41">
        <v>3.0</v>
      </c>
      <c r="P22" s="18"/>
      <c r="Q22" s="41">
        <v>0.0</v>
      </c>
      <c r="R22" s="41">
        <v>0.0</v>
      </c>
      <c r="S22" s="27">
        <v>1.39</v>
      </c>
      <c r="T22" s="27">
        <v>23.0</v>
      </c>
      <c r="U22" s="27">
        <v>41.72</v>
      </c>
      <c r="V22" s="41">
        <v>30000.0</v>
      </c>
      <c r="W22" s="41">
        <v>0.0</v>
      </c>
      <c r="X22" s="41">
        <v>0.0</v>
      </c>
      <c r="Y22" s="41">
        <v>100.0</v>
      </c>
      <c r="Z22" s="41">
        <v>0.0</v>
      </c>
      <c r="AA22" s="41">
        <v>0.0</v>
      </c>
      <c r="AB22" s="41">
        <v>30077.0</v>
      </c>
      <c r="AC22" s="41">
        <f t="shared" si="2"/>
        <v>30077</v>
      </c>
      <c r="AD22" s="18"/>
      <c r="AE22" s="18"/>
      <c r="AF22" s="43">
        <v>46006.27539351852</v>
      </c>
    </row>
    <row r="23" ht="18.0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41">
        <v>110.0</v>
      </c>
      <c r="L23" s="41">
        <v>2.0</v>
      </c>
      <c r="M23" s="18"/>
      <c r="N23" s="18"/>
      <c r="O23" s="41">
        <v>3.0</v>
      </c>
      <c r="P23" s="18"/>
      <c r="Q23" s="41">
        <v>0.0</v>
      </c>
      <c r="R23" s="41">
        <v>0.0</v>
      </c>
      <c r="S23" s="27">
        <v>1.14</v>
      </c>
      <c r="T23" s="27">
        <v>19.0</v>
      </c>
      <c r="U23" s="27">
        <v>40.04</v>
      </c>
      <c r="V23" s="41">
        <v>30000.0</v>
      </c>
      <c r="W23" s="41">
        <v>0.0</v>
      </c>
      <c r="X23" s="41">
        <v>0.0</v>
      </c>
      <c r="Y23" s="41">
        <v>100.0</v>
      </c>
      <c r="Z23" s="41">
        <v>0.0</v>
      </c>
      <c r="AA23" s="41">
        <v>0.0</v>
      </c>
      <c r="AB23" s="41">
        <v>30077.0</v>
      </c>
      <c r="AC23" s="41">
        <f t="shared" si="2"/>
        <v>30077</v>
      </c>
      <c r="AD23" s="18"/>
      <c r="AE23" s="18"/>
      <c r="AF23" s="43">
        <v>46006.283900462964</v>
      </c>
    </row>
    <row r="24" ht="18.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41">
        <v>116.0</v>
      </c>
      <c r="L24" s="41">
        <v>2.0</v>
      </c>
      <c r="M24" s="18"/>
      <c r="N24" s="18"/>
      <c r="O24" s="41">
        <v>3.0</v>
      </c>
      <c r="P24" s="18"/>
      <c r="Q24" s="41">
        <v>0.0</v>
      </c>
      <c r="R24" s="41">
        <v>0.0</v>
      </c>
      <c r="S24" s="27">
        <v>1.27</v>
      </c>
      <c r="T24" s="27">
        <v>21.0</v>
      </c>
      <c r="U24" s="27">
        <v>38.98</v>
      </c>
      <c r="V24" s="41">
        <v>30000.0</v>
      </c>
      <c r="W24" s="41">
        <v>0.0</v>
      </c>
      <c r="X24" s="41">
        <v>0.0</v>
      </c>
      <c r="Y24" s="41">
        <v>100.0</v>
      </c>
      <c r="Z24" s="41">
        <v>0.0</v>
      </c>
      <c r="AA24" s="41">
        <v>0.0</v>
      </c>
      <c r="AB24" s="41">
        <v>30077.0</v>
      </c>
      <c r="AC24" s="41">
        <f t="shared" si="2"/>
        <v>30077</v>
      </c>
      <c r="AD24" s="18"/>
      <c r="AE24" s="18"/>
      <c r="AF24" s="43">
        <v>46006.29314814815</v>
      </c>
    </row>
    <row r="25" ht="18.0" customHeight="1">
      <c r="A25" s="18"/>
      <c r="B25" s="24"/>
      <c r="C25" s="24"/>
      <c r="D25" s="24"/>
      <c r="E25" s="24"/>
      <c r="F25" s="24"/>
      <c r="G25" s="24"/>
      <c r="H25" s="24"/>
      <c r="I25" s="24"/>
      <c r="J25" s="24"/>
      <c r="K25" s="41">
        <v>266.0</v>
      </c>
      <c r="L25" s="41">
        <v>4.0</v>
      </c>
      <c r="M25" s="24"/>
      <c r="N25" s="24"/>
      <c r="O25" s="41">
        <v>2.0</v>
      </c>
      <c r="P25" s="24"/>
      <c r="Q25" s="41">
        <v>45.0</v>
      </c>
      <c r="R25" s="41">
        <v>3.0</v>
      </c>
      <c r="S25" s="27">
        <v>1.3</v>
      </c>
      <c r="T25" s="27">
        <v>21.0</v>
      </c>
      <c r="U25" s="27">
        <v>41.58</v>
      </c>
      <c r="V25" s="41">
        <v>30000.0</v>
      </c>
      <c r="W25" s="41">
        <v>0.0</v>
      </c>
      <c r="X25" s="41">
        <v>0.0</v>
      </c>
      <c r="Y25" s="41">
        <v>100.0</v>
      </c>
      <c r="Z25" s="41">
        <v>0.0</v>
      </c>
      <c r="AA25" s="41">
        <v>0.0</v>
      </c>
      <c r="AB25" s="41">
        <v>30077.0</v>
      </c>
      <c r="AC25" s="41">
        <f t="shared" si="2"/>
        <v>30077</v>
      </c>
      <c r="AD25" s="24"/>
      <c r="AE25" s="24"/>
      <c r="AF25" s="43">
        <v>46006.30165509259</v>
      </c>
    </row>
    <row r="26" ht="18.0" customHeight="1">
      <c r="A26" s="18"/>
      <c r="B26" s="39">
        <v>500.0</v>
      </c>
      <c r="C26" s="39">
        <v>5.0</v>
      </c>
      <c r="D26" s="40">
        <v>150000.0</v>
      </c>
      <c r="E26" s="40">
        <v>150000.0</v>
      </c>
      <c r="F26" s="39">
        <v>0.0</v>
      </c>
      <c r="G26" s="39">
        <v>0.0</v>
      </c>
      <c r="H26" s="39">
        <v>500.0</v>
      </c>
      <c r="I26" s="39">
        <v>0.0</v>
      </c>
      <c r="J26" s="41">
        <v>102.0</v>
      </c>
      <c r="K26" s="44">
        <v>8121.0</v>
      </c>
      <c r="L26" s="41">
        <v>515.0</v>
      </c>
      <c r="M26" s="41">
        <v>1.0</v>
      </c>
      <c r="N26" s="41">
        <v>1.0</v>
      </c>
      <c r="O26" s="41">
        <v>399.0</v>
      </c>
      <c r="P26" s="44">
        <v>2912.0</v>
      </c>
      <c r="Q26" s="41">
        <v>115.0</v>
      </c>
      <c r="R26" s="41">
        <v>6.0</v>
      </c>
      <c r="S26" s="27">
        <v>2.32</v>
      </c>
      <c r="T26" s="27">
        <v>38.0</v>
      </c>
      <c r="U26" s="27">
        <v>72.82</v>
      </c>
      <c r="V26" s="41">
        <v>143616.0</v>
      </c>
      <c r="W26" s="41">
        <v>1335.0</v>
      </c>
      <c r="X26" s="41">
        <v>5049.0</v>
      </c>
      <c r="Y26" s="41">
        <v>96.0</v>
      </c>
      <c r="Z26" s="41">
        <v>1.0</v>
      </c>
      <c r="AA26" s="41">
        <v>3.0</v>
      </c>
      <c r="AB26" s="41">
        <v>150079.0</v>
      </c>
      <c r="AC26" s="41">
        <f t="shared" si="2"/>
        <v>79</v>
      </c>
      <c r="AD26" s="42" t="s">
        <v>49</v>
      </c>
      <c r="AE26" s="42" t="s">
        <v>49</v>
      </c>
      <c r="AF26" s="43">
        <v>46007.49922453704</v>
      </c>
    </row>
    <row r="27" ht="18.0" customHeight="1">
      <c r="A27" s="18"/>
      <c r="B27" s="18"/>
      <c r="C27" s="18"/>
      <c r="D27" s="18"/>
      <c r="E27" s="18"/>
      <c r="F27" s="18"/>
      <c r="G27" s="18"/>
      <c r="H27" s="18"/>
      <c r="I27" s="18"/>
      <c r="J27" s="45">
        <v>9377.0</v>
      </c>
      <c r="K27" s="45">
        <v>48615.0</v>
      </c>
      <c r="L27" s="45">
        <v>8841.0</v>
      </c>
      <c r="M27" s="45">
        <v>8721.0</v>
      </c>
      <c r="N27" s="46">
        <v>18359.0</v>
      </c>
      <c r="O27" s="45">
        <v>20896.0</v>
      </c>
      <c r="P27" s="45">
        <v>25260.0</v>
      </c>
      <c r="Q27" s="46">
        <v>834.0</v>
      </c>
      <c r="R27" s="46">
        <v>10.0</v>
      </c>
      <c r="S27" s="47">
        <v>2.3</v>
      </c>
      <c r="T27" s="48">
        <v>38.0</v>
      </c>
      <c r="U27" s="48">
        <v>85.18</v>
      </c>
      <c r="V27" s="46">
        <v>59370.0</v>
      </c>
      <c r="W27" s="46">
        <v>366.0</v>
      </c>
      <c r="X27" s="46">
        <v>90264.0</v>
      </c>
      <c r="Y27" s="46">
        <v>40.0</v>
      </c>
      <c r="Z27" s="46">
        <v>0.0</v>
      </c>
      <c r="AA27" s="46">
        <v>60.0</v>
      </c>
      <c r="AB27" s="46">
        <v>150076.0</v>
      </c>
      <c r="AC27" s="46">
        <f t="shared" si="2"/>
        <v>150076</v>
      </c>
      <c r="AD27" s="18"/>
      <c r="AE27" s="18"/>
      <c r="AF27" s="49">
        <v>46007.50769675926</v>
      </c>
    </row>
    <row r="28" ht="18.0" customHeight="1">
      <c r="A28" s="18"/>
      <c r="B28" s="18"/>
      <c r="C28" s="18"/>
      <c r="D28" s="18"/>
      <c r="E28" s="18"/>
      <c r="F28" s="18"/>
      <c r="G28" s="18"/>
      <c r="H28" s="18"/>
      <c r="I28" s="18"/>
      <c r="J28" s="41">
        <v>56.0</v>
      </c>
      <c r="K28" s="44">
        <v>6466.0</v>
      </c>
      <c r="L28" s="41">
        <v>345.0</v>
      </c>
      <c r="M28" s="41">
        <v>1.0</v>
      </c>
      <c r="N28" s="41">
        <v>1.0</v>
      </c>
      <c r="O28" s="41">
        <v>14.0</v>
      </c>
      <c r="P28" s="44">
        <v>1815.0</v>
      </c>
      <c r="Q28" s="41">
        <v>77.0</v>
      </c>
      <c r="R28" s="41">
        <v>6.0</v>
      </c>
      <c r="S28" s="27">
        <v>2.29</v>
      </c>
      <c r="T28" s="27">
        <v>38.0</v>
      </c>
      <c r="U28" s="27">
        <v>68.27</v>
      </c>
      <c r="V28" s="41">
        <v>146296.0</v>
      </c>
      <c r="W28" s="41">
        <v>1103.0</v>
      </c>
      <c r="X28" s="41">
        <v>2601.0</v>
      </c>
      <c r="Y28" s="41">
        <v>98.0</v>
      </c>
      <c r="Z28" s="41">
        <v>1.0</v>
      </c>
      <c r="AA28" s="41">
        <v>2.0</v>
      </c>
      <c r="AB28" s="41">
        <v>150077.0</v>
      </c>
      <c r="AC28" s="41">
        <f t="shared" si="2"/>
        <v>150077</v>
      </c>
      <c r="AD28" s="18"/>
      <c r="AE28" s="18"/>
      <c r="AF28" s="43">
        <v>46007.516238425924</v>
      </c>
    </row>
    <row r="29" ht="18.0" customHeight="1">
      <c r="A29" s="18"/>
      <c r="B29" s="18"/>
      <c r="C29" s="18"/>
      <c r="D29" s="18"/>
      <c r="E29" s="18"/>
      <c r="F29" s="18"/>
      <c r="G29" s="18"/>
      <c r="H29" s="18"/>
      <c r="I29" s="18"/>
      <c r="J29" s="41">
        <v>64.0</v>
      </c>
      <c r="K29" s="44">
        <v>8486.0</v>
      </c>
      <c r="L29" s="41">
        <v>398.0</v>
      </c>
      <c r="M29" s="41">
        <v>1.0</v>
      </c>
      <c r="N29" s="41">
        <v>1.0</v>
      </c>
      <c r="O29" s="41">
        <v>18.0</v>
      </c>
      <c r="P29" s="44">
        <v>1889.0</v>
      </c>
      <c r="Q29" s="41">
        <v>541.0</v>
      </c>
      <c r="R29" s="41">
        <v>8.0</v>
      </c>
      <c r="S29" s="27">
        <v>2.37</v>
      </c>
      <c r="T29" s="27">
        <v>39.0</v>
      </c>
      <c r="U29" s="27">
        <v>72.19</v>
      </c>
      <c r="V29" s="41">
        <v>145830.0</v>
      </c>
      <c r="W29" s="41">
        <v>915.0</v>
      </c>
      <c r="X29" s="41">
        <v>3255.0</v>
      </c>
      <c r="Y29" s="41">
        <v>97.0</v>
      </c>
      <c r="Z29" s="41">
        <v>1.0</v>
      </c>
      <c r="AA29" s="41">
        <v>2.0</v>
      </c>
      <c r="AB29" s="41">
        <v>150078.0</v>
      </c>
      <c r="AC29" s="41">
        <f t="shared" si="2"/>
        <v>150078</v>
      </c>
      <c r="AD29" s="18"/>
      <c r="AE29" s="18"/>
      <c r="AF29" s="43">
        <v>46007.52475694445</v>
      </c>
    </row>
    <row r="30" ht="18.0" customHeight="1">
      <c r="A30" s="18"/>
      <c r="B30" s="18"/>
      <c r="C30" s="18"/>
      <c r="D30" s="18"/>
      <c r="E30" s="18"/>
      <c r="F30" s="18"/>
      <c r="G30" s="18"/>
      <c r="H30" s="18"/>
      <c r="I30" s="18"/>
      <c r="J30" s="41">
        <v>68.0</v>
      </c>
      <c r="K30" s="44">
        <v>7410.0</v>
      </c>
      <c r="L30" s="41">
        <v>405.0</v>
      </c>
      <c r="M30" s="41">
        <v>1.0</v>
      </c>
      <c r="N30" s="41">
        <v>1.0</v>
      </c>
      <c r="O30" s="41">
        <v>10.0</v>
      </c>
      <c r="P30" s="44">
        <v>2078.0</v>
      </c>
      <c r="Q30" s="41">
        <v>297.0</v>
      </c>
      <c r="R30" s="41">
        <v>7.0</v>
      </c>
      <c r="S30" s="27">
        <v>2.38</v>
      </c>
      <c r="T30" s="27">
        <v>39.0</v>
      </c>
      <c r="U30" s="27">
        <v>65.03</v>
      </c>
      <c r="V30" s="41">
        <v>145604.0</v>
      </c>
      <c r="W30" s="41">
        <v>1086.0</v>
      </c>
      <c r="X30" s="41">
        <v>3310.0</v>
      </c>
      <c r="Y30" s="41">
        <v>97.0</v>
      </c>
      <c r="Z30" s="41">
        <v>1.0</v>
      </c>
      <c r="AA30" s="41">
        <v>2.0</v>
      </c>
      <c r="AB30" s="41">
        <v>150079.0</v>
      </c>
      <c r="AC30" s="41">
        <f t="shared" si="2"/>
        <v>150079</v>
      </c>
      <c r="AD30" s="18"/>
      <c r="AE30" s="18"/>
      <c r="AF30" s="43">
        <v>46007.53326388889</v>
      </c>
    </row>
    <row r="31" ht="18.0" customHeight="1">
      <c r="A31" s="18"/>
      <c r="B31" s="24"/>
      <c r="C31" s="24"/>
      <c r="D31" s="24"/>
      <c r="E31" s="24"/>
      <c r="F31" s="24"/>
      <c r="G31" s="24"/>
      <c r="H31" s="24"/>
      <c r="I31" s="24"/>
      <c r="J31" s="41">
        <v>106.0</v>
      </c>
      <c r="K31" s="44">
        <v>8533.0</v>
      </c>
      <c r="L31" s="41">
        <v>556.0</v>
      </c>
      <c r="M31" s="41">
        <v>1.0</v>
      </c>
      <c r="N31" s="41">
        <v>1.0</v>
      </c>
      <c r="O31" s="41">
        <v>314.0</v>
      </c>
      <c r="P31" s="44">
        <v>3260.0</v>
      </c>
      <c r="Q31" s="41">
        <v>331.0</v>
      </c>
      <c r="R31" s="41">
        <v>8.0</v>
      </c>
      <c r="S31" s="27">
        <v>2.35</v>
      </c>
      <c r="T31" s="27">
        <v>39.0</v>
      </c>
      <c r="U31" s="27">
        <v>73.02</v>
      </c>
      <c r="V31" s="41">
        <v>144157.0</v>
      </c>
      <c r="W31" s="41">
        <v>1018.0</v>
      </c>
      <c r="X31" s="41">
        <v>4825.0</v>
      </c>
      <c r="Y31" s="41">
        <v>96.0</v>
      </c>
      <c r="Z31" s="41">
        <v>1.0</v>
      </c>
      <c r="AA31" s="41">
        <v>3.0</v>
      </c>
      <c r="AB31" s="41">
        <v>150077.0</v>
      </c>
      <c r="AC31" s="41">
        <f t="shared" si="2"/>
        <v>150077</v>
      </c>
      <c r="AD31" s="24"/>
      <c r="AE31" s="24"/>
      <c r="AF31" s="43">
        <v>46007.54200231482</v>
      </c>
    </row>
    <row r="32" ht="18.0" customHeight="1">
      <c r="A32" s="18"/>
      <c r="B32" s="39">
        <v>1000.0</v>
      </c>
      <c r="C32" s="39">
        <v>5.0</v>
      </c>
      <c r="D32" s="40">
        <v>300000.0</v>
      </c>
      <c r="E32" s="40">
        <v>300000.0</v>
      </c>
      <c r="F32" s="39">
        <v>0.0</v>
      </c>
      <c r="G32" s="39">
        <v>0.0</v>
      </c>
      <c r="H32" s="40">
        <v>1000.0</v>
      </c>
      <c r="I32" s="39">
        <v>0.0</v>
      </c>
      <c r="J32" s="41">
        <v>562.0</v>
      </c>
      <c r="K32" s="44">
        <v>14895.0</v>
      </c>
      <c r="L32" s="44">
        <v>1837.0</v>
      </c>
      <c r="M32" s="39">
        <v>1.0</v>
      </c>
      <c r="N32" s="39">
        <v>1.0</v>
      </c>
      <c r="O32" s="44">
        <v>4976.0</v>
      </c>
      <c r="P32" s="44">
        <v>9453.0</v>
      </c>
      <c r="Q32" s="41">
        <v>0.0</v>
      </c>
      <c r="R32" s="41">
        <v>0.0</v>
      </c>
      <c r="S32" s="27">
        <v>2.36</v>
      </c>
      <c r="T32" s="27">
        <v>39.0</v>
      </c>
      <c r="U32" s="27">
        <v>76.92</v>
      </c>
      <c r="V32" s="41">
        <v>266469.0</v>
      </c>
      <c r="W32" s="41">
        <v>1272.0</v>
      </c>
      <c r="X32" s="41">
        <v>32259.0</v>
      </c>
      <c r="Y32" s="41">
        <v>89.0</v>
      </c>
      <c r="Z32" s="41">
        <v>0.0</v>
      </c>
      <c r="AA32" s="41">
        <v>11.0</v>
      </c>
      <c r="AB32" s="41">
        <v>300078.0</v>
      </c>
      <c r="AC32" s="41">
        <f t="shared" si="2"/>
        <v>78</v>
      </c>
      <c r="AD32" s="42" t="s">
        <v>49</v>
      </c>
      <c r="AE32" s="42" t="s">
        <v>49</v>
      </c>
      <c r="AF32" s="43">
        <v>46008.56795138889</v>
      </c>
    </row>
    <row r="33" ht="18.0" customHeight="1">
      <c r="A33" s="18"/>
      <c r="B33" s="18"/>
      <c r="C33" s="18"/>
      <c r="D33" s="18"/>
      <c r="E33" s="18"/>
      <c r="F33" s="18"/>
      <c r="G33" s="18"/>
      <c r="H33" s="18"/>
      <c r="I33" s="18"/>
      <c r="J33" s="41">
        <v>667.0</v>
      </c>
      <c r="K33" s="44">
        <v>18628.0</v>
      </c>
      <c r="L33" s="44">
        <v>2025.0</v>
      </c>
      <c r="M33" s="18"/>
      <c r="N33" s="18"/>
      <c r="O33" s="44">
        <v>4872.0</v>
      </c>
      <c r="P33" s="44">
        <v>10202.0</v>
      </c>
      <c r="Q33" s="41">
        <v>887.0</v>
      </c>
      <c r="R33" s="41">
        <v>14.0</v>
      </c>
      <c r="S33" s="27">
        <v>2.35</v>
      </c>
      <c r="T33" s="27">
        <v>39.0</v>
      </c>
      <c r="U33" s="27">
        <v>82.26</v>
      </c>
      <c r="V33" s="41">
        <v>261089.0</v>
      </c>
      <c r="W33" s="41">
        <v>1477.0</v>
      </c>
      <c r="X33" s="41">
        <v>37434.0</v>
      </c>
      <c r="Y33" s="41">
        <v>87.0</v>
      </c>
      <c r="Z33" s="41">
        <v>0.0</v>
      </c>
      <c r="AA33" s="41">
        <v>12.0</v>
      </c>
      <c r="AB33" s="41">
        <v>300080.0</v>
      </c>
      <c r="AC33" s="41">
        <f t="shared" si="2"/>
        <v>300080</v>
      </c>
      <c r="AD33" s="18"/>
      <c r="AE33" s="18"/>
      <c r="AF33" s="43">
        <v>46008.576944444445</v>
      </c>
    </row>
    <row r="34" ht="18.0" customHeight="1">
      <c r="A34" s="18"/>
      <c r="B34" s="18"/>
      <c r="C34" s="18"/>
      <c r="D34" s="18"/>
      <c r="E34" s="18"/>
      <c r="F34" s="18"/>
      <c r="G34" s="18"/>
      <c r="H34" s="18"/>
      <c r="I34" s="18"/>
      <c r="J34" s="41">
        <v>619.0</v>
      </c>
      <c r="K34" s="44">
        <v>15706.0</v>
      </c>
      <c r="L34" s="44">
        <v>1901.0</v>
      </c>
      <c r="M34" s="18"/>
      <c r="N34" s="18"/>
      <c r="O34" s="44">
        <v>5260.0</v>
      </c>
      <c r="P34" s="44">
        <v>9555.0</v>
      </c>
      <c r="Q34" s="44">
        <v>1339.0</v>
      </c>
      <c r="R34" s="41">
        <v>18.0</v>
      </c>
      <c r="S34" s="27">
        <v>2.35</v>
      </c>
      <c r="T34" s="27">
        <v>39.0</v>
      </c>
      <c r="U34" s="27">
        <v>75.22</v>
      </c>
      <c r="V34" s="41">
        <v>262222.0</v>
      </c>
      <c r="W34" s="41">
        <v>1197.0</v>
      </c>
      <c r="X34" s="41">
        <v>36581.0</v>
      </c>
      <c r="Y34" s="41">
        <v>87.0</v>
      </c>
      <c r="Z34" s="41">
        <v>0.0</v>
      </c>
      <c r="AA34" s="41">
        <v>12.0</v>
      </c>
      <c r="AB34" s="41">
        <v>300082.0</v>
      </c>
      <c r="AC34" s="41">
        <f t="shared" si="2"/>
        <v>300082</v>
      </c>
      <c r="AD34" s="18"/>
      <c r="AE34" s="18"/>
      <c r="AF34" s="43">
        <v>46008.58630787037</v>
      </c>
    </row>
    <row r="35" ht="18.0" customHeight="1">
      <c r="A35" s="18"/>
      <c r="B35" s="18"/>
      <c r="C35" s="18"/>
      <c r="D35" s="18"/>
      <c r="E35" s="18"/>
      <c r="F35" s="18"/>
      <c r="G35" s="18"/>
      <c r="H35" s="18"/>
      <c r="I35" s="18"/>
      <c r="J35" s="41">
        <v>530.0</v>
      </c>
      <c r="K35" s="44">
        <v>14034.0</v>
      </c>
      <c r="L35" s="44">
        <v>1767.0</v>
      </c>
      <c r="M35" s="18"/>
      <c r="N35" s="18"/>
      <c r="O35" s="44">
        <v>4296.0</v>
      </c>
      <c r="P35" s="44">
        <v>9801.0</v>
      </c>
      <c r="Q35" s="41">
        <v>936.0</v>
      </c>
      <c r="R35" s="41">
        <v>16.0</v>
      </c>
      <c r="S35" s="27">
        <v>2.29</v>
      </c>
      <c r="T35" s="27">
        <v>38.0</v>
      </c>
      <c r="U35" s="27">
        <v>79.06</v>
      </c>
      <c r="V35" s="41">
        <v>266421.0</v>
      </c>
      <c r="W35" s="41">
        <v>1587.0</v>
      </c>
      <c r="X35" s="41">
        <v>31992.0</v>
      </c>
      <c r="Y35" s="41">
        <v>89.0</v>
      </c>
      <c r="Z35" s="41">
        <v>1.0</v>
      </c>
      <c r="AA35" s="41">
        <v>11.0</v>
      </c>
      <c r="AB35" s="41">
        <v>300080.0</v>
      </c>
      <c r="AC35" s="41">
        <f t="shared" si="2"/>
        <v>300080</v>
      </c>
      <c r="AD35" s="18"/>
      <c r="AE35" s="18"/>
      <c r="AF35" s="43">
        <v>46008.59496527778</v>
      </c>
    </row>
    <row r="36" ht="18.0" customHeight="1">
      <c r="A36" s="18"/>
      <c r="B36" s="18"/>
      <c r="C36" s="18"/>
      <c r="D36" s="18"/>
      <c r="E36" s="18"/>
      <c r="F36" s="18"/>
      <c r="G36" s="18"/>
      <c r="H36" s="18"/>
      <c r="I36" s="18"/>
      <c r="J36" s="41">
        <v>598.0</v>
      </c>
      <c r="K36" s="44">
        <v>17922.0</v>
      </c>
      <c r="L36" s="44">
        <v>1905.0</v>
      </c>
      <c r="M36" s="18"/>
      <c r="N36" s="18"/>
      <c r="O36" s="44">
        <v>4534.0</v>
      </c>
      <c r="P36" s="44">
        <v>10193.0</v>
      </c>
      <c r="Q36" s="41">
        <v>0.0</v>
      </c>
      <c r="R36" s="41">
        <v>0.0</v>
      </c>
      <c r="S36" s="27">
        <v>2.36</v>
      </c>
      <c r="T36" s="27">
        <v>39.0</v>
      </c>
      <c r="U36" s="27">
        <v>79.28</v>
      </c>
      <c r="V36" s="41">
        <v>264095.0</v>
      </c>
      <c r="W36" s="41">
        <v>684.0</v>
      </c>
      <c r="X36" s="41">
        <v>35221.0</v>
      </c>
      <c r="Y36" s="41">
        <v>88.0</v>
      </c>
      <c r="Z36" s="41">
        <v>0.0</v>
      </c>
      <c r="AA36" s="41">
        <v>12.0</v>
      </c>
      <c r="AB36" s="41">
        <v>300080.0</v>
      </c>
      <c r="AC36" s="41">
        <f t="shared" si="2"/>
        <v>300080</v>
      </c>
      <c r="AD36" s="18"/>
      <c r="AE36" s="18"/>
      <c r="AF36" s="43">
        <v>46008.60359953704</v>
      </c>
    </row>
    <row r="37" ht="18.0" customHeight="1">
      <c r="A37" s="24"/>
      <c r="B37" s="24"/>
      <c r="C37" s="24"/>
      <c r="D37" s="24"/>
      <c r="E37" s="24"/>
      <c r="F37" s="24"/>
      <c r="G37" s="24"/>
      <c r="H37" s="24"/>
      <c r="I37" s="24"/>
      <c r="J37" s="41">
        <v>795.0</v>
      </c>
      <c r="K37" s="44">
        <v>22882.0</v>
      </c>
      <c r="L37" s="44">
        <v>2483.0</v>
      </c>
      <c r="M37" s="24"/>
      <c r="N37" s="24"/>
      <c r="O37" s="44">
        <v>5289.0</v>
      </c>
      <c r="P37" s="44">
        <v>13317.0</v>
      </c>
      <c r="Q37" s="44">
        <v>1566.0</v>
      </c>
      <c r="R37" s="41">
        <v>16.0</v>
      </c>
      <c r="S37" s="27">
        <v>2.36</v>
      </c>
      <c r="T37" s="27">
        <v>39.0</v>
      </c>
      <c r="U37" s="27">
        <v>84.64</v>
      </c>
      <c r="V37" s="41">
        <v>258630.0</v>
      </c>
      <c r="W37" s="41">
        <v>1337.0</v>
      </c>
      <c r="X37" s="41">
        <v>40033.0</v>
      </c>
      <c r="Y37" s="41">
        <v>86.0</v>
      </c>
      <c r="Z37" s="41">
        <v>0.0</v>
      </c>
      <c r="AA37" s="41">
        <v>13.0</v>
      </c>
      <c r="AB37" s="41">
        <v>300078.0</v>
      </c>
      <c r="AC37" s="41">
        <f t="shared" si="2"/>
        <v>300078</v>
      </c>
      <c r="AD37" s="24"/>
      <c r="AE37" s="24"/>
      <c r="AF37" s="43">
        <v>46008.611921296295</v>
      </c>
    </row>
    <row r="38" ht="18.0" customHeight="1">
      <c r="A38" s="12" t="s">
        <v>56</v>
      </c>
      <c r="B38" s="13">
        <v>100.0</v>
      </c>
      <c r="C38" s="15">
        <v>5.0</v>
      </c>
      <c r="D38" s="15">
        <v>30000.0</v>
      </c>
      <c r="E38" s="15">
        <v>30000.0</v>
      </c>
      <c r="F38" s="13">
        <v>0.0</v>
      </c>
      <c r="G38" s="13">
        <v>0.0</v>
      </c>
      <c r="H38" s="13">
        <v>100.0</v>
      </c>
      <c r="I38" s="13">
        <v>0.0</v>
      </c>
      <c r="J38" s="13">
        <v>2.0</v>
      </c>
      <c r="K38" s="16">
        <v>76.0</v>
      </c>
      <c r="L38" s="16">
        <v>1.0</v>
      </c>
      <c r="M38" s="13">
        <v>2.0</v>
      </c>
      <c r="N38" s="13">
        <v>2.0</v>
      </c>
      <c r="O38" s="16">
        <v>3.0</v>
      </c>
      <c r="P38" s="16">
        <v>4.0</v>
      </c>
      <c r="Q38" s="16">
        <v>0.0</v>
      </c>
      <c r="R38" s="16">
        <v>0.0</v>
      </c>
      <c r="S38" s="11">
        <v>1.56</v>
      </c>
      <c r="T38" s="11">
        <v>26.0</v>
      </c>
      <c r="U38" s="11">
        <v>42.12</v>
      </c>
      <c r="V38" s="16">
        <v>30000.0</v>
      </c>
      <c r="W38" s="16">
        <v>0.0</v>
      </c>
      <c r="X38" s="16">
        <v>0.0</v>
      </c>
      <c r="Y38" s="16">
        <v>100.0</v>
      </c>
      <c r="Z38" s="16">
        <v>0.0</v>
      </c>
      <c r="AA38" s="16">
        <v>0.0</v>
      </c>
      <c r="AB38" s="16">
        <v>30077.0</v>
      </c>
      <c r="AC38" s="16">
        <f t="shared" si="2"/>
        <v>77</v>
      </c>
      <c r="AD38" s="19" t="s">
        <v>48</v>
      </c>
      <c r="AE38" s="19" t="s">
        <v>49</v>
      </c>
      <c r="AF38" s="20">
        <v>46006.50056712963</v>
      </c>
    </row>
    <row r="39" ht="18.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6">
        <v>81.0</v>
      </c>
      <c r="L39" s="16">
        <v>1.0</v>
      </c>
      <c r="M39" s="18"/>
      <c r="N39" s="18"/>
      <c r="O39" s="16">
        <v>3.0</v>
      </c>
      <c r="P39" s="16">
        <v>4.0</v>
      </c>
      <c r="Q39" s="16">
        <v>0.0</v>
      </c>
      <c r="R39" s="16">
        <v>0.0</v>
      </c>
      <c r="S39" s="11">
        <v>0.85</v>
      </c>
      <c r="T39" s="11">
        <v>14.0</v>
      </c>
      <c r="U39" s="11">
        <v>46.98</v>
      </c>
      <c r="V39" s="16">
        <v>30000.0</v>
      </c>
      <c r="W39" s="16">
        <v>0.0</v>
      </c>
      <c r="X39" s="16">
        <v>0.0</v>
      </c>
      <c r="Y39" s="16">
        <v>100.0</v>
      </c>
      <c r="Z39" s="16">
        <v>0.0</v>
      </c>
      <c r="AA39" s="16">
        <v>0.0</v>
      </c>
      <c r="AB39" s="16">
        <v>30078.0</v>
      </c>
      <c r="AC39" s="16">
        <f t="shared" si="2"/>
        <v>30078</v>
      </c>
      <c r="AD39" s="18"/>
      <c r="AE39" s="18"/>
      <c r="AF39" s="20">
        <v>46006.50916666666</v>
      </c>
    </row>
    <row r="40" ht="18.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6">
        <v>93.0</v>
      </c>
      <c r="L40" s="16">
        <v>1.0</v>
      </c>
      <c r="M40" s="18"/>
      <c r="N40" s="18"/>
      <c r="O40" s="16">
        <v>3.0</v>
      </c>
      <c r="P40" s="16">
        <v>4.0</v>
      </c>
      <c r="Q40" s="16">
        <v>36.0</v>
      </c>
      <c r="R40" s="16">
        <v>2.0</v>
      </c>
      <c r="S40" s="11">
        <v>0.96</v>
      </c>
      <c r="T40" s="11">
        <v>16.0</v>
      </c>
      <c r="U40" s="11">
        <v>54.55</v>
      </c>
      <c r="V40" s="16">
        <v>30000.0</v>
      </c>
      <c r="W40" s="16">
        <v>0.0</v>
      </c>
      <c r="X40" s="16">
        <v>0.0</v>
      </c>
      <c r="Y40" s="16">
        <v>100.0</v>
      </c>
      <c r="Z40" s="16">
        <v>0.0</v>
      </c>
      <c r="AA40" s="16">
        <v>0.0</v>
      </c>
      <c r="AB40" s="16">
        <v>30077.0</v>
      </c>
      <c r="AC40" s="16">
        <f t="shared" si="2"/>
        <v>30077</v>
      </c>
      <c r="AD40" s="18"/>
      <c r="AE40" s="18"/>
      <c r="AF40" s="20">
        <v>46006.5187037037</v>
      </c>
    </row>
    <row r="41" ht="18.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6">
        <v>123.0</v>
      </c>
      <c r="L41" s="16">
        <v>2.0</v>
      </c>
      <c r="M41" s="18"/>
      <c r="N41" s="18"/>
      <c r="O41" s="16">
        <v>3.0</v>
      </c>
      <c r="P41" s="16">
        <v>4.0</v>
      </c>
      <c r="Q41" s="16">
        <v>0.0</v>
      </c>
      <c r="R41" s="16">
        <v>0.0</v>
      </c>
      <c r="S41" s="11">
        <v>0.79</v>
      </c>
      <c r="T41" s="11">
        <v>13.0</v>
      </c>
      <c r="U41" s="11">
        <v>32.22</v>
      </c>
      <c r="V41" s="16">
        <v>30000.0</v>
      </c>
      <c r="W41" s="16">
        <v>0.0</v>
      </c>
      <c r="X41" s="16">
        <v>0.0</v>
      </c>
      <c r="Y41" s="16">
        <v>100.0</v>
      </c>
      <c r="Z41" s="16">
        <v>0.0</v>
      </c>
      <c r="AA41" s="16">
        <v>0.0</v>
      </c>
      <c r="AB41" s="16">
        <v>30077.0</v>
      </c>
      <c r="AC41" s="16">
        <f t="shared" si="2"/>
        <v>30077</v>
      </c>
      <c r="AD41" s="18"/>
      <c r="AE41" s="18"/>
      <c r="AF41" s="20">
        <v>46006.527708333335</v>
      </c>
    </row>
    <row r="42" ht="18.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6">
        <v>328.0</v>
      </c>
      <c r="L42" s="16">
        <v>6.0</v>
      </c>
      <c r="M42" s="18"/>
      <c r="N42" s="18"/>
      <c r="O42" s="16">
        <v>2.0</v>
      </c>
      <c r="P42" s="16">
        <v>4.0</v>
      </c>
      <c r="Q42" s="16">
        <v>41.0</v>
      </c>
      <c r="R42" s="16">
        <v>2.0</v>
      </c>
      <c r="S42" s="11">
        <v>1.03</v>
      </c>
      <c r="T42" s="11">
        <v>17.0</v>
      </c>
      <c r="U42" s="11">
        <v>45.06</v>
      </c>
      <c r="V42" s="16">
        <v>30000.0</v>
      </c>
      <c r="W42" s="16">
        <v>0.0</v>
      </c>
      <c r="X42" s="16">
        <v>0.0</v>
      </c>
      <c r="Y42" s="16">
        <v>100.0</v>
      </c>
      <c r="Z42" s="16">
        <v>0.0</v>
      </c>
      <c r="AA42" s="16">
        <v>0.0</v>
      </c>
      <c r="AB42" s="16">
        <v>30079.0</v>
      </c>
      <c r="AC42" s="16">
        <f t="shared" si="2"/>
        <v>30079</v>
      </c>
      <c r="AD42" s="18"/>
      <c r="AE42" s="18"/>
      <c r="AF42" s="20">
        <v>46006.53766203704</v>
      </c>
    </row>
    <row r="43" ht="18.0" customHeight="1">
      <c r="A43" s="18"/>
      <c r="B43" s="24"/>
      <c r="C43" s="24"/>
      <c r="D43" s="24"/>
      <c r="E43" s="24"/>
      <c r="F43" s="24"/>
      <c r="G43" s="24"/>
      <c r="H43" s="24"/>
      <c r="I43" s="24"/>
      <c r="J43" s="24"/>
      <c r="K43" s="16">
        <v>91.0</v>
      </c>
      <c r="L43" s="16">
        <v>1.0</v>
      </c>
      <c r="M43" s="24"/>
      <c r="N43" s="24"/>
      <c r="O43" s="16">
        <v>2.0</v>
      </c>
      <c r="P43" s="16">
        <v>4.0</v>
      </c>
      <c r="Q43" s="16">
        <v>29.0</v>
      </c>
      <c r="R43" s="16">
        <v>2.0</v>
      </c>
      <c r="S43" s="11">
        <v>1.03</v>
      </c>
      <c r="T43" s="11">
        <v>17.0</v>
      </c>
      <c r="U43" s="11">
        <v>38.07</v>
      </c>
      <c r="V43" s="16">
        <v>30000.0</v>
      </c>
      <c r="W43" s="16">
        <v>0.0</v>
      </c>
      <c r="X43" s="16">
        <v>0.0</v>
      </c>
      <c r="Y43" s="16">
        <v>100.0</v>
      </c>
      <c r="Z43" s="16">
        <v>0.0</v>
      </c>
      <c r="AA43" s="16">
        <v>0.0</v>
      </c>
      <c r="AB43" s="16">
        <v>30078.0</v>
      </c>
      <c r="AC43" s="16">
        <f t="shared" si="2"/>
        <v>30078</v>
      </c>
      <c r="AD43" s="24"/>
      <c r="AE43" s="24"/>
      <c r="AF43" s="20">
        <v>46006.54738425926</v>
      </c>
    </row>
    <row r="44" ht="18.0" customHeight="1">
      <c r="A44" s="18"/>
      <c r="B44" s="13">
        <v>500.0</v>
      </c>
      <c r="C44" s="15">
        <v>5.0</v>
      </c>
      <c r="D44" s="15">
        <v>150000.0</v>
      </c>
      <c r="E44" s="15">
        <v>150000.0</v>
      </c>
      <c r="F44" s="13">
        <v>0.0</v>
      </c>
      <c r="G44" s="13">
        <v>0.0</v>
      </c>
      <c r="H44" s="13">
        <v>500.0</v>
      </c>
      <c r="I44" s="13">
        <v>0.0</v>
      </c>
      <c r="J44" s="16">
        <v>55.0</v>
      </c>
      <c r="K44" s="21">
        <v>6612.0</v>
      </c>
      <c r="L44" s="16">
        <v>349.0</v>
      </c>
      <c r="M44" s="13">
        <v>1.0</v>
      </c>
      <c r="N44" s="13">
        <v>1.0</v>
      </c>
      <c r="O44" s="16">
        <v>10.0</v>
      </c>
      <c r="P44" s="21">
        <v>1726.0</v>
      </c>
      <c r="Q44" s="16">
        <v>0.0</v>
      </c>
      <c r="R44" s="16">
        <v>0.0</v>
      </c>
      <c r="S44" s="11">
        <v>2.33</v>
      </c>
      <c r="T44" s="11">
        <v>38.0</v>
      </c>
      <c r="U44" s="11">
        <v>65.29</v>
      </c>
      <c r="V44" s="16">
        <v>146463.0</v>
      </c>
      <c r="W44" s="16">
        <v>848.0</v>
      </c>
      <c r="X44" s="16">
        <v>2689.0</v>
      </c>
      <c r="Y44" s="16">
        <v>98.0</v>
      </c>
      <c r="Z44" s="16">
        <v>1.0</v>
      </c>
      <c r="AA44" s="16">
        <v>2.0</v>
      </c>
      <c r="AB44" s="16">
        <v>150084.0</v>
      </c>
      <c r="AC44" s="16">
        <f t="shared" si="2"/>
        <v>84</v>
      </c>
      <c r="AD44" s="19" t="s">
        <v>49</v>
      </c>
      <c r="AE44" s="19" t="s">
        <v>49</v>
      </c>
      <c r="AF44" s="20">
        <v>46007.757789351854</v>
      </c>
    </row>
    <row r="45" ht="18.0" customHeight="1">
      <c r="A45" s="18"/>
      <c r="B45" s="18"/>
      <c r="C45" s="18"/>
      <c r="D45" s="18"/>
      <c r="E45" s="18"/>
      <c r="F45" s="18"/>
      <c r="G45" s="18"/>
      <c r="H45" s="18"/>
      <c r="I45" s="18"/>
      <c r="J45" s="16">
        <v>50.0</v>
      </c>
      <c r="K45" s="21">
        <v>5421.0</v>
      </c>
      <c r="L45" s="16">
        <v>299.0</v>
      </c>
      <c r="M45" s="18"/>
      <c r="N45" s="18"/>
      <c r="O45" s="16">
        <v>3.0</v>
      </c>
      <c r="P45" s="21">
        <v>1686.0</v>
      </c>
      <c r="Q45" s="16">
        <v>312.0</v>
      </c>
      <c r="R45" s="16">
        <v>6.0</v>
      </c>
      <c r="S45" s="11">
        <v>2.33</v>
      </c>
      <c r="T45" s="11">
        <v>38.0</v>
      </c>
      <c r="U45" s="11">
        <v>67.86</v>
      </c>
      <c r="V45" s="16">
        <v>146222.0</v>
      </c>
      <c r="W45" s="16">
        <v>1299.0</v>
      </c>
      <c r="X45" s="16">
        <v>2479.0</v>
      </c>
      <c r="Y45" s="16">
        <v>97.0</v>
      </c>
      <c r="Z45" s="16">
        <v>1.0</v>
      </c>
      <c r="AA45" s="16">
        <v>2.0</v>
      </c>
      <c r="AB45" s="16">
        <v>150078.0</v>
      </c>
      <c r="AC45" s="16">
        <f t="shared" si="2"/>
        <v>150078</v>
      </c>
      <c r="AD45" s="18"/>
      <c r="AE45" s="18"/>
      <c r="AF45" s="20">
        <v>46007.76660879629</v>
      </c>
    </row>
    <row r="46" ht="18.0" customHeight="1">
      <c r="A46" s="18"/>
      <c r="B46" s="18"/>
      <c r="C46" s="18"/>
      <c r="D46" s="18"/>
      <c r="E46" s="18"/>
      <c r="F46" s="18"/>
      <c r="G46" s="18"/>
      <c r="H46" s="18"/>
      <c r="I46" s="18"/>
      <c r="J46" s="16">
        <v>28.0</v>
      </c>
      <c r="K46" s="21">
        <v>3913.0</v>
      </c>
      <c r="L46" s="16">
        <v>192.0</v>
      </c>
      <c r="M46" s="18"/>
      <c r="N46" s="18"/>
      <c r="O46" s="16">
        <v>2.0</v>
      </c>
      <c r="P46" s="21">
        <v>1011.0</v>
      </c>
      <c r="Q46" s="16">
        <v>55.0</v>
      </c>
      <c r="R46" s="16">
        <v>4.0</v>
      </c>
      <c r="S46" s="11">
        <v>2.31</v>
      </c>
      <c r="T46" s="11">
        <v>38.0</v>
      </c>
      <c r="U46" s="11">
        <v>64.77</v>
      </c>
      <c r="V46" s="16">
        <v>148030.0</v>
      </c>
      <c r="W46" s="16">
        <v>761.0</v>
      </c>
      <c r="X46" s="16">
        <v>1209.0</v>
      </c>
      <c r="Y46" s="16">
        <v>99.0</v>
      </c>
      <c r="Z46" s="16">
        <v>1.0</v>
      </c>
      <c r="AA46" s="16">
        <v>1.0</v>
      </c>
      <c r="AB46" s="16">
        <v>150077.0</v>
      </c>
      <c r="AC46" s="16">
        <f t="shared" si="2"/>
        <v>150077</v>
      </c>
      <c r="AD46" s="18"/>
      <c r="AE46" s="18"/>
      <c r="AF46" s="20">
        <v>46007.77513888889</v>
      </c>
    </row>
    <row r="47" ht="18.0" customHeight="1">
      <c r="A47" s="18"/>
      <c r="B47" s="18"/>
      <c r="C47" s="18"/>
      <c r="D47" s="18"/>
      <c r="E47" s="18"/>
      <c r="F47" s="18"/>
      <c r="G47" s="18"/>
      <c r="H47" s="18"/>
      <c r="I47" s="18"/>
      <c r="J47" s="16">
        <v>51.0</v>
      </c>
      <c r="K47" s="21">
        <v>5917.0</v>
      </c>
      <c r="L47" s="16">
        <v>315.0</v>
      </c>
      <c r="M47" s="18"/>
      <c r="N47" s="18"/>
      <c r="O47" s="16">
        <v>4.0</v>
      </c>
      <c r="P47" s="21">
        <v>1498.0</v>
      </c>
      <c r="Q47" s="16">
        <v>201.0</v>
      </c>
      <c r="R47" s="16">
        <v>5.0</v>
      </c>
      <c r="S47" s="11">
        <v>2.36</v>
      </c>
      <c r="T47" s="11">
        <v>39.0</v>
      </c>
      <c r="U47" s="11">
        <v>66.33</v>
      </c>
      <c r="V47" s="16">
        <v>146516.0</v>
      </c>
      <c r="W47" s="16">
        <v>1258.0</v>
      </c>
      <c r="X47" s="16">
        <v>2226.0</v>
      </c>
      <c r="Y47" s="16">
        <v>98.0</v>
      </c>
      <c r="Z47" s="16">
        <v>1.0</v>
      </c>
      <c r="AA47" s="16">
        <v>1.0</v>
      </c>
      <c r="AB47" s="16">
        <v>150077.0</v>
      </c>
      <c r="AC47" s="16">
        <f t="shared" si="2"/>
        <v>150077</v>
      </c>
      <c r="AD47" s="18"/>
      <c r="AE47" s="18"/>
      <c r="AF47" s="20">
        <v>46007.78351851852</v>
      </c>
    </row>
    <row r="48" ht="18.0" customHeight="1">
      <c r="A48" s="18"/>
      <c r="B48" s="18"/>
      <c r="C48" s="18"/>
      <c r="D48" s="18"/>
      <c r="E48" s="18"/>
      <c r="F48" s="18"/>
      <c r="G48" s="18"/>
      <c r="H48" s="18"/>
      <c r="I48" s="18"/>
      <c r="J48" s="16">
        <v>68.0</v>
      </c>
      <c r="K48" s="21">
        <v>6896.0</v>
      </c>
      <c r="L48" s="16">
        <v>413.0</v>
      </c>
      <c r="M48" s="18"/>
      <c r="N48" s="18"/>
      <c r="O48" s="16">
        <v>6.0</v>
      </c>
      <c r="P48" s="21">
        <v>2276.0</v>
      </c>
      <c r="Q48" s="16">
        <v>459.0</v>
      </c>
      <c r="R48" s="16">
        <v>6.0</v>
      </c>
      <c r="S48" s="11">
        <v>2.34</v>
      </c>
      <c r="T48" s="11">
        <v>39.0</v>
      </c>
      <c r="U48" s="11">
        <v>65.15</v>
      </c>
      <c r="V48" s="16">
        <v>145886.0</v>
      </c>
      <c r="W48" s="16">
        <v>845.0</v>
      </c>
      <c r="X48" s="16">
        <v>3269.0</v>
      </c>
      <c r="Y48" s="16">
        <v>97.0</v>
      </c>
      <c r="Z48" s="16">
        <v>1.0</v>
      </c>
      <c r="AA48" s="16">
        <v>2.0</v>
      </c>
      <c r="AB48" s="16">
        <v>150077.0</v>
      </c>
      <c r="AC48" s="16">
        <f t="shared" si="2"/>
        <v>150077</v>
      </c>
      <c r="AD48" s="18"/>
      <c r="AE48" s="18"/>
      <c r="AF48" s="20">
        <v>46007.79175925926</v>
      </c>
    </row>
    <row r="49" ht="18.0" customHeight="1">
      <c r="A49" s="18"/>
      <c r="B49" s="24"/>
      <c r="C49" s="24"/>
      <c r="D49" s="24"/>
      <c r="E49" s="24"/>
      <c r="F49" s="24"/>
      <c r="G49" s="24"/>
      <c r="H49" s="24"/>
      <c r="I49" s="24"/>
      <c r="J49" s="46">
        <v>316.0</v>
      </c>
      <c r="K49" s="45">
        <v>13899.0</v>
      </c>
      <c r="L49" s="45">
        <v>1263.0</v>
      </c>
      <c r="M49" s="24"/>
      <c r="N49" s="24"/>
      <c r="O49" s="45">
        <v>2278.0</v>
      </c>
      <c r="P49" s="45">
        <v>7197.0</v>
      </c>
      <c r="Q49" s="46">
        <v>0.0</v>
      </c>
      <c r="R49" s="46">
        <v>0.0</v>
      </c>
      <c r="S49" s="48">
        <v>2.35</v>
      </c>
      <c r="T49" s="48">
        <v>39.0</v>
      </c>
      <c r="U49" s="48">
        <v>87.69</v>
      </c>
      <c r="V49" s="46">
        <v>137063.0</v>
      </c>
      <c r="W49" s="46">
        <v>1441.0</v>
      </c>
      <c r="X49" s="46">
        <v>11496.0</v>
      </c>
      <c r="Y49" s="46">
        <v>91.0</v>
      </c>
      <c r="Z49" s="46">
        <v>1.0</v>
      </c>
      <c r="AA49" s="46">
        <v>8.0</v>
      </c>
      <c r="AB49" s="46">
        <v>150078.0</v>
      </c>
      <c r="AC49" s="46">
        <f t="shared" si="2"/>
        <v>150078</v>
      </c>
      <c r="AD49" s="24"/>
      <c r="AE49" s="24"/>
      <c r="AF49" s="49">
        <v>46007.80032407407</v>
      </c>
    </row>
    <row r="50" ht="18.0" customHeight="1">
      <c r="A50" s="18"/>
      <c r="B50" s="13">
        <v>1000.0</v>
      </c>
      <c r="C50" s="15">
        <v>5.0</v>
      </c>
      <c r="D50" s="15">
        <v>300000.0</v>
      </c>
      <c r="E50" s="15">
        <v>300000.0</v>
      </c>
      <c r="F50" s="13">
        <v>0.0</v>
      </c>
      <c r="G50" s="13">
        <v>0.0</v>
      </c>
      <c r="H50" s="15">
        <v>1000.0</v>
      </c>
      <c r="I50" s="13">
        <v>0.0</v>
      </c>
      <c r="J50" s="16">
        <v>698.0</v>
      </c>
      <c r="K50" s="21">
        <v>15584.0</v>
      </c>
      <c r="L50" s="21">
        <v>2031.0</v>
      </c>
      <c r="M50" s="13">
        <v>1.0</v>
      </c>
      <c r="N50" s="13">
        <v>1.0</v>
      </c>
      <c r="O50" s="21">
        <v>5909.0</v>
      </c>
      <c r="P50" s="21">
        <v>9519.0</v>
      </c>
      <c r="Q50" s="21">
        <v>1426.0</v>
      </c>
      <c r="R50" s="16">
        <v>15.0</v>
      </c>
      <c r="S50" s="11">
        <v>2.34</v>
      </c>
      <c r="T50" s="11">
        <v>39.0</v>
      </c>
      <c r="U50" s="11">
        <v>81.46</v>
      </c>
      <c r="V50" s="16">
        <v>260077.0</v>
      </c>
      <c r="W50" s="16">
        <v>1654.0</v>
      </c>
      <c r="X50" s="16">
        <v>38269.0</v>
      </c>
      <c r="Y50" s="16">
        <v>87.0</v>
      </c>
      <c r="Z50" s="16">
        <v>1.0</v>
      </c>
      <c r="AA50" s="16">
        <v>13.0</v>
      </c>
      <c r="AB50" s="16">
        <v>300080.0</v>
      </c>
      <c r="AC50" s="16">
        <f t="shared" si="2"/>
        <v>80</v>
      </c>
      <c r="AD50" s="19" t="s">
        <v>49</v>
      </c>
      <c r="AE50" s="19" t="s">
        <v>49</v>
      </c>
      <c r="AF50" s="20">
        <v>46008.77724537037</v>
      </c>
    </row>
    <row r="51" ht="18.0" customHeight="1">
      <c r="A51" s="18"/>
      <c r="B51" s="18"/>
      <c r="C51" s="18"/>
      <c r="D51" s="18"/>
      <c r="E51" s="18"/>
      <c r="F51" s="18"/>
      <c r="G51" s="18"/>
      <c r="H51" s="18"/>
      <c r="I51" s="18"/>
      <c r="J51" s="16">
        <v>549.0</v>
      </c>
      <c r="K51" s="21">
        <v>18990.0</v>
      </c>
      <c r="L51" s="21">
        <v>1830.0</v>
      </c>
      <c r="M51" s="18"/>
      <c r="N51" s="18"/>
      <c r="O51" s="21">
        <v>4473.0</v>
      </c>
      <c r="P51" s="21">
        <v>9926.0</v>
      </c>
      <c r="Q51" s="21">
        <v>1063.0</v>
      </c>
      <c r="R51" s="16">
        <v>14.0</v>
      </c>
      <c r="S51" s="11">
        <v>2.32</v>
      </c>
      <c r="T51" s="11">
        <v>38.0</v>
      </c>
      <c r="U51" s="11">
        <v>77.43</v>
      </c>
      <c r="V51" s="16">
        <v>266865.0</v>
      </c>
      <c r="W51" s="16">
        <v>917.0</v>
      </c>
      <c r="X51" s="16">
        <v>32218.0</v>
      </c>
      <c r="Y51" s="16">
        <v>89.0</v>
      </c>
      <c r="Z51" s="16">
        <v>0.0</v>
      </c>
      <c r="AA51" s="16">
        <v>11.0</v>
      </c>
      <c r="AB51" s="16">
        <v>300078.0</v>
      </c>
      <c r="AC51" s="16">
        <f t="shared" si="2"/>
        <v>300078</v>
      </c>
      <c r="AD51" s="18"/>
      <c r="AE51" s="18"/>
      <c r="AF51" s="20">
        <v>46008.78600694444</v>
      </c>
    </row>
    <row r="52" ht="18.0" customHeight="1">
      <c r="A52" s="18"/>
      <c r="B52" s="18"/>
      <c r="C52" s="18"/>
      <c r="D52" s="18"/>
      <c r="E52" s="18"/>
      <c r="F52" s="18"/>
      <c r="G52" s="18"/>
      <c r="H52" s="18"/>
      <c r="I52" s="18"/>
      <c r="J52" s="45">
        <v>1499.0</v>
      </c>
      <c r="K52" s="45">
        <v>33452.0</v>
      </c>
      <c r="L52" s="45">
        <v>4511.0</v>
      </c>
      <c r="M52" s="18"/>
      <c r="N52" s="18"/>
      <c r="O52" s="45">
        <v>14934.0</v>
      </c>
      <c r="P52" s="45">
        <v>21394.0</v>
      </c>
      <c r="Q52" s="45">
        <v>2297.0</v>
      </c>
      <c r="R52" s="46">
        <v>21.0</v>
      </c>
      <c r="S52" s="48">
        <v>2.36</v>
      </c>
      <c r="T52" s="48">
        <v>39.0</v>
      </c>
      <c r="U52" s="48">
        <v>74.7</v>
      </c>
      <c r="V52" s="46">
        <v>248263.0</v>
      </c>
      <c r="W52" s="46">
        <v>8020.0</v>
      </c>
      <c r="X52" s="46">
        <v>43717.0</v>
      </c>
      <c r="Y52" s="46">
        <v>83.0</v>
      </c>
      <c r="Z52" s="46">
        <v>3.0</v>
      </c>
      <c r="AA52" s="46">
        <v>15.0</v>
      </c>
      <c r="AB52" s="46">
        <v>300081.0</v>
      </c>
      <c r="AC52" s="46">
        <f t="shared" si="2"/>
        <v>300081</v>
      </c>
      <c r="AD52" s="18"/>
      <c r="AE52" s="18"/>
      <c r="AF52" s="49">
        <v>46008.794907407406</v>
      </c>
    </row>
    <row r="53" ht="18.0" customHeight="1">
      <c r="A53" s="18"/>
      <c r="B53" s="18"/>
      <c r="C53" s="18"/>
      <c r="D53" s="18"/>
      <c r="E53" s="18"/>
      <c r="F53" s="18"/>
      <c r="G53" s="18"/>
      <c r="H53" s="18"/>
      <c r="I53" s="18"/>
      <c r="J53" s="16">
        <v>622.0</v>
      </c>
      <c r="K53" s="21">
        <v>15697.0</v>
      </c>
      <c r="L53" s="21">
        <v>1934.0</v>
      </c>
      <c r="M53" s="18"/>
      <c r="N53" s="18"/>
      <c r="O53" s="21">
        <v>5346.0</v>
      </c>
      <c r="P53" s="21">
        <v>9807.0</v>
      </c>
      <c r="Q53" s="16">
        <v>573.0</v>
      </c>
      <c r="R53" s="16">
        <v>11.0</v>
      </c>
      <c r="S53" s="11">
        <v>2.34</v>
      </c>
      <c r="T53" s="11">
        <v>39.0</v>
      </c>
      <c r="U53" s="11">
        <v>78.21</v>
      </c>
      <c r="V53" s="16">
        <v>263504.0</v>
      </c>
      <c r="W53" s="16">
        <v>780.0</v>
      </c>
      <c r="X53" s="16">
        <v>35716.0</v>
      </c>
      <c r="Y53" s="16">
        <v>88.0</v>
      </c>
      <c r="Z53" s="16">
        <v>0.0</v>
      </c>
      <c r="AA53" s="16">
        <v>12.0</v>
      </c>
      <c r="AB53" s="16">
        <v>300078.0</v>
      </c>
      <c r="AC53" s="16">
        <f t="shared" si="2"/>
        <v>300078</v>
      </c>
      <c r="AD53" s="18"/>
      <c r="AE53" s="18"/>
      <c r="AF53" s="20">
        <v>46008.80540509259</v>
      </c>
    </row>
    <row r="54" ht="18.0" customHeight="1">
      <c r="A54" s="18"/>
      <c r="B54" s="18"/>
      <c r="C54" s="18"/>
      <c r="D54" s="18"/>
      <c r="E54" s="18"/>
      <c r="F54" s="18"/>
      <c r="G54" s="18"/>
      <c r="H54" s="18"/>
      <c r="I54" s="18"/>
      <c r="J54" s="16">
        <v>670.0</v>
      </c>
      <c r="K54" s="21">
        <v>17921.0</v>
      </c>
      <c r="L54" s="21">
        <v>2008.0</v>
      </c>
      <c r="M54" s="18"/>
      <c r="N54" s="18"/>
      <c r="O54" s="21">
        <v>5094.0</v>
      </c>
      <c r="P54" s="21">
        <v>10102.0</v>
      </c>
      <c r="Q54" s="21">
        <v>1051.0</v>
      </c>
      <c r="R54" s="16">
        <v>13.0</v>
      </c>
      <c r="S54" s="11">
        <v>2.37</v>
      </c>
      <c r="T54" s="11">
        <v>39.0</v>
      </c>
      <c r="U54" s="11">
        <v>77.81</v>
      </c>
      <c r="V54" s="16">
        <v>259050.0</v>
      </c>
      <c r="W54" s="16">
        <v>2212.0</v>
      </c>
      <c r="X54" s="16">
        <v>38738.0</v>
      </c>
      <c r="Y54" s="16">
        <v>86.0</v>
      </c>
      <c r="Z54" s="16">
        <v>1.0</v>
      </c>
      <c r="AA54" s="16">
        <v>13.0</v>
      </c>
      <c r="AB54" s="16">
        <v>300078.0</v>
      </c>
      <c r="AC54" s="16">
        <f t="shared" si="2"/>
        <v>300078</v>
      </c>
      <c r="AD54" s="18"/>
      <c r="AE54" s="18"/>
      <c r="AF54" s="20">
        <v>46008.81612268519</v>
      </c>
    </row>
    <row r="55" ht="18.0" customHeight="1">
      <c r="A55" s="24"/>
      <c r="B55" s="24"/>
      <c r="C55" s="24"/>
      <c r="D55" s="24"/>
      <c r="E55" s="24"/>
      <c r="F55" s="24"/>
      <c r="G55" s="24"/>
      <c r="H55" s="24"/>
      <c r="I55" s="24"/>
      <c r="J55" s="16">
        <v>729.0</v>
      </c>
      <c r="K55" s="21">
        <v>19787.0</v>
      </c>
      <c r="L55" s="21">
        <v>2195.0</v>
      </c>
      <c r="M55" s="24"/>
      <c r="N55" s="24"/>
      <c r="O55" s="21">
        <v>6115.0</v>
      </c>
      <c r="P55" s="21">
        <v>10886.0</v>
      </c>
      <c r="Q55" s="16">
        <v>0.0</v>
      </c>
      <c r="R55" s="16">
        <v>0.0</v>
      </c>
      <c r="S55" s="11">
        <v>2.34</v>
      </c>
      <c r="T55" s="11">
        <v>39.0</v>
      </c>
      <c r="U55" s="11">
        <v>84.66</v>
      </c>
      <c r="V55" s="16">
        <v>262565.0</v>
      </c>
      <c r="W55" s="16">
        <v>595.0</v>
      </c>
      <c r="X55" s="16">
        <v>36840.0</v>
      </c>
      <c r="Y55" s="16">
        <v>88.0</v>
      </c>
      <c r="Z55" s="16">
        <v>0.0</v>
      </c>
      <c r="AA55" s="16">
        <v>12.0</v>
      </c>
      <c r="AB55" s="16">
        <v>300078.0</v>
      </c>
      <c r="AC55" s="16">
        <f t="shared" si="2"/>
        <v>300078</v>
      </c>
      <c r="AD55" s="24"/>
      <c r="AE55" s="24"/>
      <c r="AF55" s="20">
        <v>46008.82460648148</v>
      </c>
    </row>
    <row r="56" ht="18.0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</row>
    <row r="57" ht="18.0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</row>
    <row r="58" ht="18.0" customHeight="1">
      <c r="A58" s="63" t="s">
        <v>66</v>
      </c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4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</row>
    <row r="59" ht="18.0" customHeight="1">
      <c r="A59" s="65" t="s">
        <v>67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</row>
    <row r="60" ht="18.0" customHeight="1">
      <c r="A60" s="65" t="s">
        <v>68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</row>
    <row r="61" ht="18.0" customHeight="1">
      <c r="A61" s="65" t="s">
        <v>69</v>
      </c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</row>
    <row r="62" ht="18.0" customHeight="1">
      <c r="A62" s="65" t="s">
        <v>70</v>
      </c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</row>
    <row r="63" ht="18.0" customHeight="1">
      <c r="A63" s="65" t="s">
        <v>71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</row>
    <row r="64" ht="18.0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</row>
    <row r="65" ht="18.0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</row>
    <row r="66" ht="18.0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</row>
    <row r="67" ht="18.0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</row>
    <row r="68" ht="18.0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</row>
    <row r="69" ht="18.0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</row>
    <row r="70" ht="18.0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</row>
    <row r="71" ht="18.0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</row>
    <row r="72" ht="18.0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</row>
    <row r="73" ht="18.0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</row>
    <row r="74" ht="18.0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</row>
    <row r="75" ht="18.0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</row>
    <row r="76" ht="18.0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</row>
    <row r="77" ht="18.0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</row>
    <row r="78" ht="18.0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</row>
    <row r="79" ht="18.0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</row>
    <row r="80" ht="18.0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</row>
    <row r="81" ht="18.0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</row>
    <row r="82" ht="18.0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</row>
    <row r="83" ht="18.0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</row>
    <row r="84" ht="18.0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</row>
    <row r="85" ht="18.0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</row>
    <row r="86" ht="18.0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</row>
    <row r="87" ht="18.0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</row>
    <row r="88" ht="18.0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</row>
    <row r="89" ht="18.0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</row>
    <row r="90" ht="18.0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</row>
    <row r="91" ht="18.0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</row>
    <row r="92" ht="18.0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</row>
    <row r="93" ht="18.0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</row>
    <row r="94" ht="18.0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</row>
    <row r="95" ht="18.0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</row>
    <row r="96" ht="18.0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</row>
    <row r="97" ht="18.0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</row>
    <row r="98" ht="18.0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</row>
    <row r="99" ht="18.0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</row>
    <row r="100" ht="18.0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</row>
    <row r="101" ht="18.0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</row>
    <row r="102" ht="18.0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</row>
    <row r="103" ht="18.0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</row>
    <row r="104" ht="18.0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</row>
    <row r="105" ht="18.0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</row>
    <row r="106" ht="18.0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</row>
    <row r="107" ht="18.0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</row>
    <row r="108" ht="18.0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</row>
    <row r="109" ht="18.0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</row>
    <row r="110" ht="18.0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</row>
    <row r="111" ht="18.0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</row>
    <row r="112" ht="18.0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</row>
    <row r="113" ht="18.0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</row>
    <row r="114" ht="18.0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</row>
    <row r="115" ht="18.0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</row>
    <row r="116" ht="18.0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</row>
    <row r="117" ht="18.0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</row>
    <row r="118" ht="18.0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</row>
    <row r="119" ht="18.0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</row>
    <row r="120" ht="18.0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</row>
    <row r="121" ht="18.0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</row>
    <row r="122" ht="18.0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</row>
    <row r="123" ht="18.0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</row>
    <row r="124" ht="18.0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</row>
    <row r="125" ht="18.0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</row>
    <row r="126" ht="18.0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</row>
    <row r="127" ht="18.0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</row>
    <row r="128" ht="18.0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</row>
    <row r="129" ht="18.0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</row>
    <row r="130" ht="18.0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</row>
    <row r="131" ht="18.0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</row>
    <row r="132" ht="18.0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</row>
    <row r="133" ht="18.0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</row>
    <row r="134" ht="18.0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</row>
    <row r="135" ht="18.0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</row>
    <row r="136" ht="18.0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</row>
    <row r="137" ht="18.0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</row>
    <row r="138" ht="18.0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</row>
    <row r="139" ht="18.0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</row>
    <row r="140" ht="18.0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</row>
    <row r="141" ht="18.0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</row>
    <row r="142" ht="18.0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</row>
    <row r="143" ht="18.0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</row>
    <row r="144" ht="18.0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</row>
    <row r="145" ht="18.0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</row>
    <row r="146" ht="18.0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</row>
    <row r="147" ht="18.0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</row>
    <row r="148" ht="18.0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</row>
    <row r="149" ht="18.0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</row>
    <row r="150" ht="18.0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</row>
    <row r="151" ht="18.0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</row>
    <row r="152" ht="18.0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</row>
    <row r="153" ht="18.0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</row>
    <row r="154" ht="18.0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</row>
    <row r="155" ht="18.0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</row>
    <row r="156" ht="18.0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</row>
    <row r="157" ht="18.0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</row>
    <row r="158" ht="18.0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</row>
    <row r="159" ht="18.0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</row>
    <row r="160" ht="18.0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</row>
    <row r="161" ht="18.0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</row>
    <row r="162" ht="18.0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</row>
    <row r="163" ht="18.0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</row>
    <row r="164" ht="18.0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</row>
    <row r="165" ht="18.0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</row>
    <row r="166" ht="18.0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</row>
    <row r="167" ht="18.0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</row>
    <row r="168" ht="18.0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</row>
    <row r="169" ht="18.0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</row>
    <row r="170" ht="18.0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</row>
    <row r="171" ht="18.0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</row>
    <row r="172" ht="18.0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</row>
    <row r="173" ht="18.0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</row>
    <row r="174" ht="18.0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</row>
    <row r="175" ht="18.0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</row>
    <row r="176" ht="18.0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</row>
    <row r="177" ht="18.0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</row>
    <row r="178" ht="18.0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</row>
    <row r="179" ht="18.0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</row>
    <row r="180" ht="18.0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</row>
    <row r="181" ht="18.0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</row>
    <row r="182" ht="18.0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</row>
    <row r="183" ht="18.0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</row>
    <row r="184" ht="18.0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</row>
    <row r="185" ht="18.0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</row>
    <row r="186" ht="18.0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</row>
    <row r="187" ht="18.0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</row>
    <row r="188" ht="18.0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</row>
    <row r="189" ht="18.0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</row>
    <row r="190" ht="18.0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</row>
    <row r="191" ht="18.0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</row>
    <row r="192" ht="18.0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</row>
    <row r="193" ht="18.0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</row>
    <row r="194" ht="18.0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</row>
    <row r="195" ht="18.0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</row>
    <row r="196" ht="18.0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</row>
    <row r="197" ht="18.0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</row>
    <row r="198" ht="18.0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</row>
    <row r="199" ht="18.0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</row>
    <row r="200" ht="18.0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</row>
    <row r="201" ht="18.0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</row>
    <row r="202" ht="18.0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</row>
    <row r="203" ht="18.0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</row>
    <row r="204" ht="18.0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</row>
    <row r="205" ht="18.0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</row>
    <row r="206" ht="18.0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</row>
    <row r="207" ht="18.0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</row>
    <row r="208" ht="18.0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</row>
    <row r="209" ht="18.0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</row>
    <row r="210" ht="18.0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</row>
    <row r="211" ht="18.0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</row>
    <row r="212" ht="18.0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</row>
    <row r="213" ht="18.0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</row>
    <row r="214" ht="18.0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</row>
    <row r="215" ht="18.0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</row>
    <row r="216" ht="18.0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</row>
    <row r="217" ht="18.0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</row>
    <row r="218" ht="18.0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</row>
    <row r="219" ht="18.0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</row>
    <row r="220" ht="18.0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</row>
    <row r="221" ht="18.0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</row>
    <row r="222" ht="18.0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</row>
    <row r="223" ht="18.0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</row>
    <row r="224" ht="18.0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</row>
    <row r="225" ht="18.0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</row>
    <row r="226" ht="18.0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</row>
    <row r="227" ht="18.0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</row>
    <row r="228" ht="18.0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</row>
    <row r="229" ht="18.0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</row>
    <row r="230" ht="18.0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</row>
    <row r="231" ht="18.0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</row>
    <row r="232" ht="18.0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</row>
    <row r="233" ht="18.0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</row>
    <row r="234" ht="18.0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</row>
    <row r="235" ht="18.0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</row>
    <row r="236" ht="18.0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</row>
    <row r="237" ht="18.0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</row>
    <row r="238" ht="18.0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</row>
    <row r="239" ht="18.0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</row>
    <row r="240" ht="18.0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</row>
    <row r="241" ht="18.0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</row>
    <row r="242" ht="18.0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</row>
    <row r="243" ht="18.0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</row>
    <row r="244" ht="18.0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</row>
    <row r="245" ht="18.0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</row>
    <row r="246" ht="18.0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</row>
    <row r="247" ht="18.0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</row>
    <row r="248" ht="18.0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</row>
    <row r="249" ht="18.0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</row>
    <row r="250" ht="18.0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</row>
    <row r="251" ht="18.0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</row>
    <row r="252" ht="18.0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</row>
    <row r="253" ht="18.0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</row>
    <row r="254" ht="18.0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</row>
    <row r="255" ht="18.0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</row>
    <row r="256" ht="18.0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</row>
    <row r="257" ht="18.0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</row>
    <row r="258" ht="18.0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</row>
    <row r="259" ht="18.0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</row>
    <row r="260" ht="18.0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</row>
    <row r="261" ht="18.0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</row>
    <row r="262" ht="18.0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</row>
    <row r="263" ht="18.0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</row>
    <row r="264" ht="18.0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</row>
    <row r="265" ht="18.0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</row>
    <row r="266" ht="18.0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</row>
    <row r="267" ht="18.0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</row>
    <row r="268" ht="18.0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</row>
    <row r="269" ht="18.0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</row>
    <row r="270" ht="18.0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</row>
    <row r="271" ht="18.0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</row>
    <row r="272" ht="18.0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</row>
    <row r="273" ht="18.0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</row>
    <row r="274" ht="18.0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</row>
    <row r="275" ht="18.0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</row>
    <row r="276" ht="18.0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</row>
    <row r="277" ht="18.0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</row>
    <row r="278" ht="18.0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</row>
    <row r="279" ht="18.0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</row>
    <row r="280" ht="18.0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</row>
    <row r="281" ht="18.0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</row>
    <row r="282" ht="18.0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</row>
    <row r="283" ht="18.0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</row>
    <row r="284" ht="18.0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</row>
    <row r="285" ht="18.0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</row>
    <row r="286" ht="18.0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</row>
    <row r="287" ht="18.0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</row>
    <row r="288" ht="18.0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</row>
    <row r="289" ht="18.0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</row>
    <row r="290" ht="18.0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</row>
    <row r="291" ht="18.0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</row>
    <row r="292" ht="18.0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</row>
    <row r="293" ht="18.0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</row>
    <row r="294" ht="18.0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</row>
    <row r="295" ht="18.0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</row>
    <row r="296" ht="18.0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</row>
    <row r="297" ht="18.0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</row>
    <row r="298" ht="18.0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</row>
    <row r="299" ht="18.0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</row>
    <row r="300" ht="18.0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</row>
    <row r="301" ht="18.0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</row>
    <row r="302" ht="18.0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</row>
    <row r="303" ht="18.0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</row>
    <row r="304" ht="18.0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</row>
    <row r="305" ht="18.0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</row>
    <row r="306" ht="18.0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</row>
    <row r="307" ht="18.0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</row>
    <row r="308" ht="18.0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</row>
    <row r="309" ht="18.0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</row>
    <row r="310" ht="18.0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</row>
    <row r="311" ht="18.0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</row>
    <row r="312" ht="18.0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</row>
    <row r="313" ht="18.0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</row>
    <row r="314" ht="18.0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</row>
    <row r="315" ht="18.0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</row>
    <row r="316" ht="18.0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</row>
    <row r="317" ht="18.0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</row>
    <row r="318" ht="18.0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</row>
    <row r="319" ht="18.0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</row>
    <row r="320" ht="18.0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</row>
    <row r="321" ht="18.0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</row>
    <row r="322" ht="18.0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</row>
    <row r="323" ht="18.0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</row>
    <row r="324" ht="18.0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</row>
    <row r="325" ht="18.0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</row>
    <row r="326" ht="18.0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</row>
    <row r="327" ht="18.0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</row>
    <row r="328" ht="18.0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</row>
    <row r="329" ht="18.0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</row>
    <row r="330" ht="18.0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</row>
    <row r="331" ht="18.0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</row>
    <row r="332" ht="18.0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</row>
    <row r="333" ht="18.0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</row>
    <row r="334" ht="18.0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</row>
    <row r="335" ht="18.0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</row>
    <row r="336" ht="18.0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</row>
    <row r="337" ht="18.0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</row>
    <row r="338" ht="18.0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</row>
    <row r="339" ht="18.0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</row>
    <row r="340" ht="18.0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</row>
    <row r="341" ht="18.0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</row>
    <row r="342" ht="18.0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</row>
    <row r="343" ht="18.0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</row>
    <row r="344" ht="18.0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</row>
    <row r="345" ht="18.0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</row>
    <row r="346" ht="18.0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</row>
    <row r="347" ht="18.0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</row>
    <row r="348" ht="18.0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</row>
    <row r="349" ht="18.0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</row>
    <row r="350" ht="18.0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</row>
    <row r="351" ht="18.0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</row>
    <row r="352" ht="18.0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</row>
    <row r="353" ht="18.0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</row>
    <row r="354" ht="18.0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</row>
    <row r="355" ht="18.0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</row>
    <row r="356" ht="18.0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</row>
    <row r="357" ht="18.0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</row>
    <row r="358" ht="18.0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</row>
    <row r="359" ht="18.0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</row>
    <row r="360" ht="18.0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</row>
    <row r="361" ht="18.0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</row>
    <row r="362" ht="18.0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</row>
    <row r="363" ht="18.0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</row>
    <row r="364" ht="18.0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</row>
    <row r="365" ht="18.0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</row>
    <row r="366" ht="18.0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</row>
    <row r="367" ht="18.0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</row>
    <row r="368" ht="18.0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</row>
    <row r="369" ht="18.0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</row>
    <row r="370" ht="18.0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</row>
    <row r="371" ht="18.0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</row>
    <row r="372" ht="18.0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</row>
    <row r="373" ht="18.0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</row>
    <row r="374" ht="18.0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</row>
    <row r="375" ht="18.0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</row>
    <row r="376" ht="18.0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</row>
    <row r="377" ht="18.0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</row>
    <row r="378" ht="18.0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</row>
    <row r="379" ht="18.0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</row>
    <row r="380" ht="18.0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</row>
    <row r="381" ht="18.0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</row>
    <row r="382" ht="18.0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</row>
    <row r="383" ht="18.0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</row>
    <row r="384" ht="18.0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</row>
    <row r="385" ht="18.0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</row>
    <row r="386" ht="18.0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</row>
    <row r="387" ht="18.0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</row>
    <row r="388" ht="18.0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</row>
    <row r="389" ht="18.0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</row>
    <row r="390" ht="18.0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</row>
    <row r="391" ht="18.0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</row>
    <row r="392" ht="18.0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</row>
    <row r="393" ht="18.0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</row>
    <row r="394" ht="18.0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</row>
    <row r="395" ht="18.0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</row>
    <row r="396" ht="18.0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</row>
    <row r="397" ht="18.0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</row>
    <row r="398" ht="18.0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</row>
    <row r="399" ht="18.0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</row>
    <row r="400" ht="18.0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</row>
    <row r="401" ht="18.0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</row>
    <row r="402" ht="18.0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</row>
    <row r="403" ht="18.0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</row>
    <row r="404" ht="18.0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</row>
    <row r="405" ht="18.0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</row>
    <row r="406" ht="18.0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</row>
    <row r="407" ht="18.0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</row>
    <row r="408" ht="18.0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</row>
    <row r="409" ht="18.0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</row>
    <row r="410" ht="18.0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</row>
    <row r="411" ht="18.0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</row>
    <row r="412" ht="18.0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</row>
    <row r="413" ht="18.0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</row>
    <row r="414" ht="18.0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</row>
    <row r="415" ht="18.0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</row>
    <row r="416" ht="18.0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</row>
    <row r="417" ht="18.0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</row>
    <row r="418" ht="18.0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</row>
    <row r="419" ht="18.0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</row>
    <row r="420" ht="18.0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</row>
    <row r="421" ht="18.0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</row>
    <row r="422" ht="18.0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</row>
    <row r="423" ht="18.0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</row>
    <row r="424" ht="18.0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</row>
    <row r="425" ht="18.0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</row>
    <row r="426" ht="18.0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</row>
    <row r="427" ht="18.0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</row>
    <row r="428" ht="18.0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</row>
    <row r="429" ht="18.0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</row>
    <row r="430" ht="18.0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</row>
    <row r="431" ht="18.0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</row>
    <row r="432" ht="18.0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</row>
    <row r="433" ht="18.0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</row>
    <row r="434" ht="18.0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</row>
    <row r="435" ht="18.0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</row>
    <row r="436" ht="18.0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</row>
    <row r="437" ht="18.0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</row>
    <row r="438" ht="18.0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</row>
    <row r="439" ht="18.0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</row>
    <row r="440" ht="18.0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</row>
    <row r="441" ht="18.0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</row>
    <row r="442" ht="18.0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</row>
    <row r="443" ht="18.0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</row>
    <row r="444" ht="18.0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</row>
    <row r="445" ht="18.0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</row>
    <row r="446" ht="18.0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</row>
    <row r="447" ht="18.0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</row>
    <row r="448" ht="18.0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</row>
    <row r="449" ht="18.0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</row>
    <row r="450" ht="18.0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</row>
    <row r="451" ht="18.0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</row>
    <row r="452" ht="18.0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</row>
    <row r="453" ht="18.0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</row>
    <row r="454" ht="18.0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</row>
    <row r="455" ht="18.0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</row>
    <row r="456" ht="18.0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</row>
    <row r="457" ht="18.0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</row>
    <row r="458" ht="18.0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</row>
    <row r="459" ht="18.0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</row>
    <row r="460" ht="18.0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</row>
    <row r="461" ht="18.0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</row>
    <row r="462" ht="18.0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</row>
    <row r="463" ht="18.0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</row>
    <row r="464" ht="18.0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</row>
    <row r="465" ht="18.0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</row>
    <row r="466" ht="18.0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</row>
    <row r="467" ht="18.0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</row>
    <row r="468" ht="18.0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</row>
    <row r="469" ht="18.0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</row>
    <row r="470" ht="18.0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</row>
    <row r="471" ht="18.0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</row>
    <row r="472" ht="18.0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</row>
    <row r="473" ht="18.0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</row>
    <row r="474" ht="18.0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</row>
    <row r="475" ht="18.0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</row>
    <row r="476" ht="18.0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</row>
    <row r="477" ht="18.0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</row>
    <row r="478" ht="18.0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</row>
    <row r="479" ht="18.0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</row>
    <row r="480" ht="18.0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</row>
    <row r="481" ht="18.0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</row>
    <row r="482" ht="18.0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</row>
    <row r="483" ht="18.0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</row>
    <row r="484" ht="18.0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</row>
    <row r="485" ht="18.0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</row>
    <row r="486" ht="18.0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</row>
    <row r="487" ht="18.0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</row>
    <row r="488" ht="18.0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</row>
    <row r="489" ht="18.0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</row>
    <row r="490" ht="18.0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</row>
    <row r="491" ht="18.0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</row>
    <row r="492" ht="18.0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</row>
    <row r="493" ht="18.0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</row>
    <row r="494" ht="18.0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</row>
    <row r="495" ht="18.0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</row>
    <row r="496" ht="18.0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</row>
    <row r="497" ht="18.0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</row>
    <row r="498" ht="18.0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</row>
    <row r="499" ht="18.0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</row>
    <row r="500" ht="18.0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</row>
    <row r="501" ht="18.0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</row>
    <row r="502" ht="18.0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</row>
    <row r="503" ht="18.0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</row>
    <row r="504" ht="18.0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</row>
    <row r="505" ht="18.0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</row>
    <row r="506" ht="18.0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</row>
    <row r="507" ht="18.0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</row>
    <row r="508" ht="18.0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</row>
    <row r="509" ht="18.0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</row>
    <row r="510" ht="18.0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</row>
    <row r="511" ht="18.0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</row>
    <row r="512" ht="18.0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</row>
    <row r="513" ht="18.0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</row>
    <row r="514" ht="18.0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</row>
    <row r="515" ht="18.0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</row>
    <row r="516" ht="18.0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</row>
    <row r="517" ht="18.0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</row>
    <row r="518" ht="18.0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</row>
    <row r="519" ht="18.0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</row>
    <row r="520" ht="18.0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</row>
    <row r="521" ht="18.0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</row>
    <row r="522" ht="18.0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</row>
    <row r="523" ht="18.0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</row>
    <row r="524" ht="18.0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</row>
    <row r="525" ht="18.0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</row>
    <row r="526" ht="18.0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</row>
    <row r="527" ht="18.0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</row>
    <row r="528" ht="18.0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</row>
    <row r="529" ht="18.0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</row>
    <row r="530" ht="18.0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</row>
    <row r="531" ht="18.0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</row>
    <row r="532" ht="18.0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</row>
    <row r="533" ht="18.0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</row>
    <row r="534" ht="18.0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</row>
    <row r="535" ht="18.0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</row>
    <row r="536" ht="18.0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</row>
    <row r="537" ht="18.0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</row>
    <row r="538" ht="18.0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</row>
    <row r="539" ht="18.0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</row>
    <row r="540" ht="18.0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</row>
    <row r="541" ht="18.0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</row>
    <row r="542" ht="18.0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</row>
    <row r="543" ht="18.0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</row>
    <row r="544" ht="18.0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</row>
    <row r="545" ht="18.0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</row>
    <row r="546" ht="18.0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</row>
    <row r="547" ht="18.0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</row>
    <row r="548" ht="18.0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</row>
    <row r="549" ht="18.0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</row>
    <row r="550" ht="18.0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</row>
    <row r="551" ht="18.0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</row>
    <row r="552" ht="18.0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</row>
    <row r="553" ht="18.0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</row>
    <row r="554" ht="18.0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</row>
    <row r="555" ht="18.0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</row>
    <row r="556" ht="18.0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</row>
    <row r="557" ht="18.0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</row>
    <row r="558" ht="18.0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</row>
    <row r="559" ht="18.0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</row>
    <row r="560" ht="18.0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</row>
    <row r="561" ht="18.0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</row>
    <row r="562" ht="18.0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</row>
    <row r="563" ht="18.0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</row>
    <row r="564" ht="18.0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</row>
    <row r="565" ht="18.0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</row>
    <row r="566" ht="18.0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</row>
    <row r="567" ht="18.0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</row>
    <row r="568" ht="18.0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</row>
    <row r="569" ht="18.0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</row>
    <row r="570" ht="18.0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</row>
    <row r="571" ht="18.0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</row>
    <row r="572" ht="18.0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</row>
    <row r="573" ht="18.0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</row>
    <row r="574" ht="18.0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</row>
    <row r="575" ht="18.0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</row>
    <row r="576" ht="18.0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</row>
    <row r="577" ht="18.0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</row>
    <row r="578" ht="18.0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</row>
    <row r="579" ht="18.0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</row>
    <row r="580" ht="18.0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</row>
    <row r="581" ht="18.0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</row>
    <row r="582" ht="18.0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</row>
    <row r="583" ht="18.0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</row>
    <row r="584" ht="18.0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</row>
    <row r="585" ht="18.0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</row>
    <row r="586" ht="18.0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</row>
    <row r="587" ht="18.0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</row>
    <row r="588" ht="18.0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</row>
    <row r="589" ht="18.0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</row>
    <row r="590" ht="18.0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</row>
    <row r="591" ht="18.0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</row>
    <row r="592" ht="18.0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</row>
    <row r="593" ht="18.0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</row>
    <row r="594" ht="18.0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</row>
    <row r="595" ht="18.0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</row>
    <row r="596" ht="18.0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</row>
    <row r="597" ht="18.0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</row>
    <row r="598" ht="18.0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</row>
    <row r="599" ht="18.0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</row>
    <row r="600" ht="18.0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</row>
    <row r="601" ht="18.0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</row>
    <row r="602" ht="18.0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</row>
    <row r="603" ht="18.0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</row>
    <row r="604" ht="18.0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</row>
    <row r="605" ht="18.0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</row>
    <row r="606" ht="18.0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</row>
    <row r="607" ht="18.0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</row>
    <row r="608" ht="18.0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</row>
    <row r="609" ht="18.0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</row>
    <row r="610" ht="18.0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</row>
    <row r="611" ht="18.0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</row>
    <row r="612" ht="18.0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</row>
    <row r="613" ht="18.0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</row>
    <row r="614" ht="18.0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</row>
    <row r="615" ht="18.0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</row>
    <row r="616" ht="18.0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</row>
    <row r="617" ht="18.0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</row>
    <row r="618" ht="18.0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</row>
    <row r="619" ht="18.0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</row>
    <row r="620" ht="18.0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</row>
    <row r="621" ht="18.0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</row>
    <row r="622" ht="18.0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</row>
    <row r="623" ht="18.0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</row>
    <row r="624" ht="18.0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</row>
    <row r="625" ht="18.0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</row>
    <row r="626" ht="18.0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</row>
    <row r="627" ht="18.0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</row>
    <row r="628" ht="18.0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</row>
    <row r="629" ht="18.0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</row>
    <row r="630" ht="18.0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</row>
    <row r="631" ht="18.0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</row>
    <row r="632" ht="18.0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</row>
    <row r="633" ht="18.0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</row>
    <row r="634" ht="18.0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</row>
    <row r="635" ht="18.0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</row>
    <row r="636" ht="18.0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</row>
    <row r="637" ht="18.0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</row>
    <row r="638" ht="18.0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</row>
    <row r="639" ht="18.0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</row>
    <row r="640" ht="18.0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</row>
    <row r="641" ht="18.0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</row>
    <row r="642" ht="18.0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</row>
    <row r="643" ht="18.0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</row>
    <row r="644" ht="18.0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</row>
    <row r="645" ht="18.0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</row>
    <row r="646" ht="18.0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</row>
    <row r="647" ht="18.0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</row>
    <row r="648" ht="18.0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</row>
    <row r="649" ht="18.0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</row>
    <row r="650" ht="18.0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</row>
    <row r="651" ht="18.0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</row>
    <row r="652" ht="18.0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</row>
    <row r="653" ht="18.0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</row>
    <row r="654" ht="18.0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</row>
    <row r="655" ht="18.0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</row>
    <row r="656" ht="18.0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</row>
    <row r="657" ht="18.0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</row>
    <row r="658" ht="18.0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</row>
    <row r="659" ht="18.0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</row>
    <row r="660" ht="18.0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</row>
    <row r="661" ht="18.0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</row>
    <row r="662" ht="18.0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</row>
    <row r="663" ht="18.0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</row>
    <row r="664" ht="18.0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</row>
    <row r="665" ht="18.0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</row>
    <row r="666" ht="18.0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</row>
    <row r="667" ht="18.0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</row>
    <row r="668" ht="18.0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</row>
    <row r="669" ht="18.0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</row>
    <row r="670" ht="18.0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</row>
    <row r="671" ht="18.0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</row>
    <row r="672" ht="18.0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</row>
    <row r="673" ht="18.0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</row>
    <row r="674" ht="18.0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</row>
    <row r="675" ht="18.0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</row>
    <row r="676" ht="18.0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</row>
    <row r="677" ht="18.0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</row>
    <row r="678" ht="18.0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</row>
    <row r="679" ht="18.0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</row>
    <row r="680" ht="18.0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</row>
    <row r="681" ht="18.0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</row>
    <row r="682" ht="18.0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</row>
    <row r="683" ht="18.0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</row>
    <row r="684" ht="18.0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</row>
    <row r="685" ht="18.0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</row>
    <row r="686" ht="18.0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</row>
    <row r="687" ht="18.0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</row>
    <row r="688" ht="18.0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</row>
    <row r="689" ht="18.0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</row>
    <row r="690" ht="18.0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</row>
    <row r="691" ht="18.0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</row>
    <row r="692" ht="18.0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</row>
    <row r="693" ht="18.0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</row>
    <row r="694" ht="18.0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</row>
    <row r="695" ht="18.0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</row>
    <row r="696" ht="18.0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</row>
    <row r="697" ht="18.0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</row>
    <row r="698" ht="18.0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</row>
    <row r="699" ht="18.0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</row>
    <row r="700" ht="18.0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</row>
    <row r="701" ht="18.0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</row>
    <row r="702" ht="18.0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</row>
    <row r="703" ht="18.0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</row>
    <row r="704" ht="18.0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</row>
    <row r="705" ht="18.0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</row>
    <row r="706" ht="18.0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</row>
    <row r="707" ht="18.0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</row>
    <row r="708" ht="18.0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</row>
    <row r="709" ht="18.0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</row>
    <row r="710" ht="18.0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</row>
    <row r="711" ht="18.0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</row>
    <row r="712" ht="18.0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</row>
    <row r="713" ht="18.0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</row>
    <row r="714" ht="18.0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</row>
    <row r="715" ht="18.0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</row>
    <row r="716" ht="18.0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</row>
    <row r="717" ht="18.0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</row>
    <row r="718" ht="18.0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</row>
    <row r="719" ht="18.0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</row>
    <row r="720" ht="18.0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</row>
    <row r="721" ht="18.0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</row>
    <row r="722" ht="18.0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</row>
    <row r="723" ht="18.0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</row>
    <row r="724" ht="18.0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</row>
    <row r="725" ht="18.0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</row>
    <row r="726" ht="18.0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</row>
    <row r="727" ht="18.0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</row>
    <row r="728" ht="18.0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</row>
    <row r="729" ht="18.0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</row>
    <row r="730" ht="18.0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</row>
    <row r="731" ht="18.0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</row>
    <row r="732" ht="18.0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</row>
    <row r="733" ht="18.0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</row>
    <row r="734" ht="18.0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</row>
    <row r="735" ht="18.0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</row>
    <row r="736" ht="18.0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</row>
    <row r="737" ht="18.0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</row>
    <row r="738" ht="18.0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</row>
    <row r="739" ht="18.0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</row>
    <row r="740" ht="18.0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</row>
    <row r="741" ht="18.0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</row>
    <row r="742" ht="18.0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</row>
    <row r="743" ht="18.0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</row>
    <row r="744" ht="18.0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</row>
    <row r="745" ht="18.0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</row>
    <row r="746" ht="18.0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</row>
    <row r="747" ht="18.0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</row>
    <row r="748" ht="18.0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</row>
    <row r="749" ht="18.0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</row>
    <row r="750" ht="18.0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</row>
    <row r="751" ht="18.0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</row>
    <row r="752" ht="18.0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</row>
    <row r="753" ht="18.0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</row>
    <row r="754" ht="18.0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</row>
    <row r="755" ht="18.0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</row>
    <row r="756" ht="18.0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</row>
    <row r="757" ht="18.0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</row>
    <row r="758" ht="18.0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</row>
    <row r="759" ht="18.0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</row>
    <row r="760" ht="18.0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</row>
    <row r="761" ht="18.0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</row>
    <row r="762" ht="18.0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</row>
    <row r="763" ht="18.0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</row>
    <row r="764" ht="18.0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</row>
    <row r="765" ht="18.0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</row>
    <row r="766" ht="18.0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</row>
    <row r="767" ht="18.0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</row>
    <row r="768" ht="18.0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</row>
    <row r="769" ht="18.0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</row>
    <row r="770" ht="18.0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</row>
    <row r="771" ht="18.0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</row>
    <row r="772" ht="18.0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</row>
    <row r="773" ht="18.0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</row>
    <row r="774" ht="18.0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</row>
    <row r="775" ht="18.0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</row>
    <row r="776" ht="18.0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</row>
    <row r="777" ht="18.0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</row>
    <row r="778" ht="18.0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</row>
    <row r="779" ht="18.0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</row>
    <row r="780" ht="18.0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</row>
    <row r="781" ht="18.0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</row>
    <row r="782" ht="18.0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</row>
    <row r="783" ht="18.0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</row>
    <row r="784" ht="18.0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</row>
    <row r="785" ht="18.0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</row>
    <row r="786" ht="18.0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</row>
    <row r="787" ht="18.0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</row>
    <row r="788" ht="18.0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</row>
    <row r="789" ht="18.0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</row>
    <row r="790" ht="18.0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</row>
    <row r="791" ht="18.0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</row>
    <row r="792" ht="18.0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</row>
    <row r="793" ht="18.0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</row>
    <row r="794" ht="18.0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</row>
    <row r="795" ht="18.0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</row>
    <row r="796" ht="18.0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</row>
    <row r="797" ht="18.0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</row>
    <row r="798" ht="18.0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</row>
    <row r="799" ht="18.0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</row>
    <row r="800" ht="18.0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</row>
    <row r="801" ht="18.0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</row>
    <row r="802" ht="18.0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</row>
    <row r="803" ht="18.0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</row>
    <row r="804" ht="18.0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</row>
    <row r="805" ht="18.0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</row>
    <row r="806" ht="18.0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</row>
    <row r="807" ht="18.0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</row>
    <row r="808" ht="18.0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</row>
    <row r="809" ht="18.0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</row>
    <row r="810" ht="18.0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</row>
    <row r="811" ht="18.0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</row>
    <row r="812" ht="18.0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</row>
    <row r="813" ht="18.0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</row>
    <row r="814" ht="18.0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</row>
    <row r="815" ht="18.0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</row>
    <row r="816" ht="18.0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</row>
    <row r="817" ht="18.0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</row>
    <row r="818" ht="18.0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</row>
    <row r="819" ht="18.0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</row>
    <row r="820" ht="18.0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</row>
    <row r="821" ht="18.0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</row>
    <row r="822" ht="18.0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</row>
    <row r="823" ht="18.0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</row>
    <row r="824" ht="18.0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</row>
    <row r="825" ht="18.0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</row>
    <row r="826" ht="18.0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</row>
    <row r="827" ht="18.0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</row>
    <row r="828" ht="18.0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</row>
    <row r="829" ht="18.0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</row>
    <row r="830" ht="18.0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</row>
    <row r="831" ht="18.0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</row>
    <row r="832" ht="18.0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</row>
    <row r="833" ht="18.0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</row>
    <row r="834" ht="18.0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</row>
    <row r="835" ht="18.0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</row>
    <row r="836" ht="18.0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</row>
    <row r="837" ht="18.0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</row>
    <row r="838" ht="18.0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</row>
    <row r="839" ht="18.0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</row>
    <row r="840" ht="18.0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</row>
    <row r="841" ht="18.0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</row>
    <row r="842" ht="18.0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</row>
    <row r="843" ht="18.0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</row>
    <row r="844" ht="18.0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</row>
    <row r="845" ht="18.0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</row>
    <row r="846" ht="18.0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</row>
    <row r="847" ht="18.0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</row>
    <row r="848" ht="18.0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</row>
    <row r="849" ht="18.0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</row>
    <row r="850" ht="18.0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</row>
    <row r="851" ht="18.0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</row>
    <row r="852" ht="18.0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</row>
    <row r="853" ht="18.0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</row>
    <row r="854" ht="18.0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</row>
    <row r="855" ht="18.0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</row>
    <row r="856" ht="18.0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</row>
    <row r="857" ht="18.0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</row>
    <row r="858" ht="18.0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</row>
    <row r="859" ht="18.0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</row>
    <row r="860" ht="18.0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</row>
    <row r="861" ht="18.0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</row>
    <row r="862" ht="18.0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</row>
    <row r="863" ht="18.0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</row>
    <row r="864" ht="18.0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</row>
    <row r="865" ht="18.0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</row>
    <row r="866" ht="18.0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</row>
    <row r="867" ht="18.0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</row>
    <row r="868" ht="18.0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</row>
    <row r="869" ht="18.0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</row>
    <row r="870" ht="18.0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</row>
    <row r="871" ht="18.0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</row>
    <row r="872" ht="18.0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</row>
    <row r="873" ht="18.0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</row>
    <row r="874" ht="18.0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</row>
    <row r="875" ht="18.0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</row>
    <row r="876" ht="18.0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</row>
    <row r="877" ht="18.0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</row>
    <row r="878" ht="18.0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</row>
    <row r="879" ht="18.0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</row>
    <row r="880" ht="18.0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</row>
    <row r="881" ht="18.0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</row>
    <row r="882" ht="18.0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</row>
    <row r="883" ht="18.0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</row>
    <row r="884" ht="18.0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</row>
    <row r="885" ht="18.0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</row>
    <row r="886" ht="18.0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</row>
    <row r="887" ht="18.0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</row>
    <row r="888" ht="18.0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</row>
    <row r="889" ht="18.0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</row>
    <row r="890" ht="18.0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</row>
    <row r="891" ht="18.0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</row>
    <row r="892" ht="18.0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</row>
    <row r="893" ht="18.0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</row>
    <row r="894" ht="18.0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</row>
    <row r="895" ht="18.0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</row>
    <row r="896" ht="18.0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</row>
    <row r="897" ht="18.0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</row>
    <row r="898" ht="18.0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</row>
    <row r="899" ht="18.0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</row>
    <row r="900" ht="18.0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</row>
    <row r="901" ht="18.0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</row>
    <row r="902" ht="18.0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</row>
    <row r="903" ht="18.0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</row>
    <row r="904" ht="18.0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</row>
    <row r="905" ht="18.0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</row>
    <row r="906" ht="18.0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</row>
    <row r="907" ht="18.0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</row>
    <row r="908" ht="18.0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</row>
    <row r="909" ht="18.0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</row>
    <row r="910" ht="18.0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</row>
    <row r="911" ht="18.0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</row>
    <row r="912" ht="18.0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</row>
    <row r="913" ht="18.0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</row>
    <row r="914" ht="18.0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</row>
    <row r="915" ht="18.0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</row>
    <row r="916" ht="18.0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</row>
    <row r="917" ht="18.0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</row>
    <row r="918" ht="18.0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</row>
    <row r="919" ht="18.0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</row>
    <row r="920" ht="18.0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</row>
    <row r="921" ht="18.0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</row>
    <row r="922" ht="18.0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</row>
    <row r="923" ht="18.0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</row>
    <row r="924" ht="18.0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</row>
    <row r="925" ht="18.0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</row>
    <row r="926" ht="18.0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</row>
    <row r="927" ht="18.0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</row>
    <row r="928" ht="18.0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</row>
    <row r="929" ht="18.0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</row>
    <row r="930" ht="18.0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</row>
    <row r="931" ht="18.0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</row>
    <row r="932" ht="18.0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</row>
    <row r="933" ht="18.0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</row>
    <row r="934" ht="18.0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</row>
    <row r="935" ht="18.0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</row>
    <row r="936" ht="18.0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</row>
    <row r="937" ht="18.0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</row>
    <row r="938" ht="18.0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</row>
    <row r="939" ht="18.0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</row>
    <row r="940" ht="18.0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</row>
    <row r="941" ht="18.0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</row>
    <row r="942" ht="18.0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</row>
    <row r="943" ht="18.0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</row>
    <row r="944" ht="18.0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</row>
    <row r="945" ht="18.0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</row>
    <row r="946" ht="18.0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</row>
    <row r="947" ht="18.0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</row>
    <row r="948" ht="18.0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</row>
    <row r="949" ht="18.0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</row>
    <row r="950" ht="18.0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</row>
    <row r="951" ht="18.0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</row>
    <row r="952" ht="18.0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</row>
    <row r="953" ht="18.0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</row>
    <row r="954" ht="18.0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</row>
    <row r="955" ht="18.0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</row>
    <row r="956" ht="18.0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</row>
    <row r="957" ht="18.0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</row>
    <row r="958" ht="18.0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</row>
    <row r="959" ht="18.0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</row>
    <row r="960" ht="18.0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</row>
  </sheetData>
  <autoFilter ref="$A$1:$AF$55"/>
  <mergeCells count="105">
    <mergeCell ref="H2:H7"/>
    <mergeCell ref="I2:I7"/>
    <mergeCell ref="J2:J7"/>
    <mergeCell ref="M2:M7"/>
    <mergeCell ref="N2:N7"/>
    <mergeCell ref="P2:P7"/>
    <mergeCell ref="AD2:AD7"/>
    <mergeCell ref="AE2:AE7"/>
    <mergeCell ref="B8:B13"/>
    <mergeCell ref="C8:C13"/>
    <mergeCell ref="D8:D13"/>
    <mergeCell ref="E8:E13"/>
    <mergeCell ref="F8:F13"/>
    <mergeCell ref="G8:G13"/>
    <mergeCell ref="H8:H13"/>
    <mergeCell ref="I8:I13"/>
    <mergeCell ref="M8:M13"/>
    <mergeCell ref="N8:N13"/>
    <mergeCell ref="AD8:AD13"/>
    <mergeCell ref="AE8:AE13"/>
    <mergeCell ref="A2:A19"/>
    <mergeCell ref="B2:B7"/>
    <mergeCell ref="C2:C7"/>
    <mergeCell ref="D2:D7"/>
    <mergeCell ref="E2:E7"/>
    <mergeCell ref="F2:F7"/>
    <mergeCell ref="G2:G7"/>
    <mergeCell ref="D14:D19"/>
    <mergeCell ref="F20:F25"/>
    <mergeCell ref="G20:G25"/>
    <mergeCell ref="H20:H25"/>
    <mergeCell ref="I20:I25"/>
    <mergeCell ref="J20:J25"/>
    <mergeCell ref="M20:M25"/>
    <mergeCell ref="N20:N25"/>
    <mergeCell ref="AD38:AD43"/>
    <mergeCell ref="AE38:AE43"/>
    <mergeCell ref="AD44:AD49"/>
    <mergeCell ref="AE44:AE49"/>
    <mergeCell ref="AD50:AD55"/>
    <mergeCell ref="AE50:AE55"/>
    <mergeCell ref="P20:P25"/>
    <mergeCell ref="AD20:AD25"/>
    <mergeCell ref="AE20:AE25"/>
    <mergeCell ref="AD26:AD31"/>
    <mergeCell ref="AE26:AE31"/>
    <mergeCell ref="AD32:AD37"/>
    <mergeCell ref="AE32:AE37"/>
    <mergeCell ref="B14:B19"/>
    <mergeCell ref="C14:C19"/>
    <mergeCell ref="A20:A37"/>
    <mergeCell ref="B20:B25"/>
    <mergeCell ref="C20:C25"/>
    <mergeCell ref="D20:D25"/>
    <mergeCell ref="E20:E25"/>
    <mergeCell ref="D50:D55"/>
    <mergeCell ref="E50:E55"/>
    <mergeCell ref="B32:B37"/>
    <mergeCell ref="C32:C37"/>
    <mergeCell ref="A38:A55"/>
    <mergeCell ref="B38:B43"/>
    <mergeCell ref="C38:C43"/>
    <mergeCell ref="D38:D43"/>
    <mergeCell ref="E38:E43"/>
    <mergeCell ref="B26:B31"/>
    <mergeCell ref="C26:C31"/>
    <mergeCell ref="D26:D31"/>
    <mergeCell ref="E26:E31"/>
    <mergeCell ref="F26:F31"/>
    <mergeCell ref="G26:G31"/>
    <mergeCell ref="H26:H31"/>
    <mergeCell ref="I26:I31"/>
    <mergeCell ref="D32:D37"/>
    <mergeCell ref="E32:E37"/>
    <mergeCell ref="F32:F37"/>
    <mergeCell ref="G32:G37"/>
    <mergeCell ref="H32:H37"/>
    <mergeCell ref="I32:I37"/>
    <mergeCell ref="M32:M37"/>
    <mergeCell ref="N32:N37"/>
    <mergeCell ref="F38:F43"/>
    <mergeCell ref="G38:G43"/>
    <mergeCell ref="H38:H43"/>
    <mergeCell ref="I38:I43"/>
    <mergeCell ref="J38:J43"/>
    <mergeCell ref="M38:M43"/>
    <mergeCell ref="N38:N43"/>
    <mergeCell ref="B44:B49"/>
    <mergeCell ref="C44:C49"/>
    <mergeCell ref="D44:D49"/>
    <mergeCell ref="E44:E49"/>
    <mergeCell ref="F44:F49"/>
    <mergeCell ref="G44:G49"/>
    <mergeCell ref="H44:H49"/>
    <mergeCell ref="I44:I49"/>
    <mergeCell ref="M44:M49"/>
    <mergeCell ref="N44:N49"/>
    <mergeCell ref="B50:B55"/>
    <mergeCell ref="C50:C55"/>
    <mergeCell ref="F50:F55"/>
    <mergeCell ref="G50:G55"/>
    <mergeCell ref="H50:H55"/>
    <mergeCell ref="I50:I55"/>
    <mergeCell ref="M50:M55"/>
    <mergeCell ref="N50:N5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5.29"/>
    <col customWidth="1" min="3" max="3" width="14.71"/>
    <col customWidth="1" min="4" max="4" width="20.0"/>
    <col customWidth="1" min="5" max="5" width="17.71"/>
    <col customWidth="1" min="6" max="6" width="9.86"/>
    <col customWidth="1" min="7" max="7" width="20.29"/>
    <col customWidth="1" min="8" max="8" width="25.43"/>
    <col customWidth="1" min="9" max="9" width="23.14"/>
    <col customWidth="1" min="10" max="10" width="14.0"/>
    <col customWidth="1" min="11" max="11" width="15.57"/>
    <col customWidth="1" min="12" max="12" width="20.86"/>
    <col customWidth="1" min="13" max="13" width="18.57"/>
    <col customWidth="1" min="14" max="14" width="10.0"/>
    <col customWidth="1" min="15" max="15" width="8.71"/>
    <col customWidth="1" min="16" max="16" width="32.29"/>
    <col customWidth="1" min="17" max="27" width="8.71"/>
  </cols>
  <sheetData>
    <row r="1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1" t="s">
        <v>11</v>
      </c>
      <c r="L1" s="1" t="s">
        <v>12</v>
      </c>
      <c r="M1" s="1" t="s">
        <v>14</v>
      </c>
      <c r="N1" s="2" t="s">
        <v>16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3.25" customHeight="1">
      <c r="A2" s="5" t="s">
        <v>25</v>
      </c>
      <c r="B2" s="6" t="s">
        <v>28</v>
      </c>
      <c r="C2" s="9">
        <f>AVERAGE('1. Raw Data'!O2:O7)</f>
        <v>2.5</v>
      </c>
      <c r="D2" s="11">
        <f>AVERAGE('1. Raw Data'!O20:O25)</f>
        <v>2.666666667</v>
      </c>
      <c r="E2" s="11">
        <f>AVERAGE('1. Raw Data'!O38:O43)</f>
        <v>2.666666667</v>
      </c>
      <c r="F2" s="14" t="s">
        <v>46</v>
      </c>
      <c r="G2" s="9">
        <f>STDEV('1. Raw Data'!O2:O7)</f>
        <v>0.5477225575</v>
      </c>
      <c r="H2" s="11">
        <f>STDEV('1. Raw Data'!O20:O25)</f>
        <v>0.5163977795</v>
      </c>
      <c r="I2" s="11">
        <f>STDEV('1. Raw Data'!O38:O43)</f>
        <v>0.5163977795</v>
      </c>
      <c r="J2" s="14" t="s">
        <v>47</v>
      </c>
      <c r="K2" s="17">
        <f t="shared" ref="K2:M2" si="1">((G2/C2)*100)</f>
        <v>21.9089023</v>
      </c>
      <c r="L2" s="9">
        <f t="shared" si="1"/>
        <v>19.36491673</v>
      </c>
      <c r="M2" s="9">
        <f t="shared" si="1"/>
        <v>19.36491673</v>
      </c>
      <c r="N2" s="14" t="s">
        <v>47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3.25" customHeight="1">
      <c r="A3" s="18"/>
      <c r="B3" s="6" t="s">
        <v>29</v>
      </c>
      <c r="C3" s="11">
        <f>AVERAGE('1. Raw Data'!P2:P7)</f>
        <v>4</v>
      </c>
      <c r="D3" s="11">
        <f>AVERAGE('1. Raw Data'!P20:P25)</f>
        <v>4</v>
      </c>
      <c r="E3" s="11">
        <f>AVERAGE('1. Raw Data'!P38:P43)</f>
        <v>4</v>
      </c>
      <c r="F3" s="14" t="s">
        <v>47</v>
      </c>
      <c r="G3" s="9" t="str">
        <f>STDEV('1. Raw Data'!P2:P7)</f>
        <v>#DIV/0!</v>
      </c>
      <c r="H3" s="11" t="str">
        <f>STDEV('1. Raw Data'!P20:P25)</f>
        <v>#DIV/0!</v>
      </c>
      <c r="I3" s="11">
        <f>STDEV('1. Raw Data'!P38:P43)</f>
        <v>0</v>
      </c>
      <c r="J3" s="14" t="s">
        <v>47</v>
      </c>
      <c r="K3" s="9" t="str">
        <f t="shared" ref="K3:M3" si="2">((G3/C3)*100)</f>
        <v>#DIV/0!</v>
      </c>
      <c r="L3" s="9" t="str">
        <f t="shared" si="2"/>
        <v>#DIV/0!</v>
      </c>
      <c r="M3" s="9">
        <f t="shared" si="2"/>
        <v>0</v>
      </c>
      <c r="N3" s="14" t="s">
        <v>47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3.25" customHeight="1">
      <c r="A4" s="18"/>
      <c r="B4" s="6" t="s">
        <v>30</v>
      </c>
      <c r="C4" s="11">
        <f>AVERAGE('1. Raw Data'!Q2:Q7)</f>
        <v>11</v>
      </c>
      <c r="D4" s="22">
        <f>AVERAGE('1. Raw Data'!Q20:Q25)</f>
        <v>18.5</v>
      </c>
      <c r="E4" s="11">
        <f>AVERAGE('1. Raw Data'!Q38:Q43)</f>
        <v>17.66666667</v>
      </c>
      <c r="F4" s="23" t="s">
        <v>46</v>
      </c>
      <c r="G4" s="9">
        <f>STDEV('1. Raw Data'!Q2:Q7)</f>
        <v>17.052859</v>
      </c>
      <c r="H4" s="22">
        <f>STDEV('1. Raw Data'!Q20:Q25)</f>
        <v>20.74367373</v>
      </c>
      <c r="I4" s="11">
        <f>STDEV('1. Raw Data'!Q38:Q43)</f>
        <v>19.72477292</v>
      </c>
      <c r="J4" s="23" t="s">
        <v>46</v>
      </c>
      <c r="K4" s="17">
        <f t="shared" ref="K4:M4" si="3">((G4/C4)*100)</f>
        <v>155.0259909</v>
      </c>
      <c r="L4" s="9">
        <f t="shared" si="3"/>
        <v>112.1279661</v>
      </c>
      <c r="M4" s="9">
        <f t="shared" si="3"/>
        <v>111.649658</v>
      </c>
      <c r="N4" s="23" t="s">
        <v>50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3.25" customHeight="1">
      <c r="A5" s="24"/>
      <c r="B5" s="6" t="s">
        <v>31</v>
      </c>
      <c r="C5" s="11">
        <f>AVERAGE('1. Raw Data'!R2:R7)</f>
        <v>0.6666666667</v>
      </c>
      <c r="D5" s="22">
        <f>AVERAGE('1. Raw Data'!R20:R25)</f>
        <v>1.166666667</v>
      </c>
      <c r="E5" s="11">
        <f>AVERAGE('1. Raw Data'!R38:R43)</f>
        <v>1</v>
      </c>
      <c r="F5" s="23" t="s">
        <v>46</v>
      </c>
      <c r="G5" s="9">
        <f>STDEV('1. Raw Data'!R2:R7)</f>
        <v>1.032795559</v>
      </c>
      <c r="H5" s="22">
        <f>STDEV('1. Raw Data'!R20:R25)</f>
        <v>1.329160136</v>
      </c>
      <c r="I5" s="11">
        <f>STDEV('1. Raw Data'!R38:R43)</f>
        <v>1.095445115</v>
      </c>
      <c r="J5" s="23" t="s">
        <v>46</v>
      </c>
      <c r="K5" s="17">
        <f t="shared" ref="K5:M5" si="4">((G5/C5)*100)</f>
        <v>154.9193338</v>
      </c>
      <c r="L5" s="9">
        <f t="shared" si="4"/>
        <v>113.9280116</v>
      </c>
      <c r="M5" s="9">
        <f t="shared" si="4"/>
        <v>109.5445115</v>
      </c>
      <c r="N5" s="23" t="s">
        <v>50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3.25" customHeight="1">
      <c r="A6" s="25" t="s">
        <v>51</v>
      </c>
      <c r="B6" s="26" t="s">
        <v>28</v>
      </c>
      <c r="C6" s="27">
        <f>AVERAGE('1. Raw Data'!O8:O13)</f>
        <v>957</v>
      </c>
      <c r="D6" s="28">
        <f>AVERAGE('1. Raw Data'!O26:O31)</f>
        <v>3608.5</v>
      </c>
      <c r="E6" s="29">
        <f>AVERAGE('1. Raw Data'!O44:O49)</f>
        <v>383.8333333</v>
      </c>
      <c r="F6" s="30" t="s">
        <v>50</v>
      </c>
      <c r="G6" s="29">
        <f>STDEV('1. Raw Data'!O8:O13)</f>
        <v>1877.798924</v>
      </c>
      <c r="H6" s="28">
        <f>STDEV('1. Raw Data'!O26:O31)</f>
        <v>8470.815775</v>
      </c>
      <c r="I6" s="27">
        <f>STDEV('1. Raw Data'!O44:O49)</f>
        <v>927.9526748</v>
      </c>
      <c r="J6" s="14" t="s">
        <v>50</v>
      </c>
      <c r="K6" s="29">
        <f t="shared" ref="K6:M6" si="5">((G6/C6)*100)</f>
        <v>196.2172335</v>
      </c>
      <c r="L6" s="29">
        <f t="shared" si="5"/>
        <v>234.7461764</v>
      </c>
      <c r="M6" s="28">
        <f t="shared" si="5"/>
        <v>241.7592726</v>
      </c>
      <c r="N6" s="14" t="s">
        <v>46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3.25" customHeight="1">
      <c r="A7" s="18"/>
      <c r="B7" s="26" t="s">
        <v>29</v>
      </c>
      <c r="C7" s="29">
        <f>AVERAGE('1. Raw Data'!P8:P13)</f>
        <v>2576.833333</v>
      </c>
      <c r="D7" s="28">
        <f>AVERAGE('1. Raw Data'!P26:P31)</f>
        <v>6202.333333</v>
      </c>
      <c r="E7" s="29">
        <f>AVERAGE('1. Raw Data'!P44:P49)</f>
        <v>2565.666667</v>
      </c>
      <c r="F7" s="30" t="s">
        <v>50</v>
      </c>
      <c r="G7" s="29">
        <f>STDEV('1. Raw Data'!P8:P13)</f>
        <v>2642.357767</v>
      </c>
      <c r="H7" s="28">
        <f>STDEV('1. Raw Data'!P26:P31)</f>
        <v>9354.591828</v>
      </c>
      <c r="I7" s="29">
        <f>STDEV('1. Raw Data'!P44:P49)</f>
        <v>2305.164173</v>
      </c>
      <c r="J7" s="14" t="s">
        <v>50</v>
      </c>
      <c r="K7" s="29">
        <f t="shared" ref="K7:M7" si="6">((G7/C7)*100)</f>
        <v>102.5428278</v>
      </c>
      <c r="L7" s="28">
        <f t="shared" si="6"/>
        <v>150.8237517</v>
      </c>
      <c r="M7" s="29">
        <f t="shared" si="6"/>
        <v>89.84659634</v>
      </c>
      <c r="N7" s="14" t="s">
        <v>50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3.25" customHeight="1">
      <c r="A8" s="18"/>
      <c r="B8" s="26" t="s">
        <v>30</v>
      </c>
      <c r="C8" s="27">
        <f>AVERAGE('1. Raw Data'!Q8:Q13)</f>
        <v>79.5</v>
      </c>
      <c r="D8" s="28">
        <f>AVERAGE('1. Raw Data'!Q26:Q31)</f>
        <v>365.8333333</v>
      </c>
      <c r="E8" s="27">
        <f>AVERAGE('1. Raw Data'!Q44:Q49)</f>
        <v>171.1666667</v>
      </c>
      <c r="F8" s="30" t="s">
        <v>46</v>
      </c>
      <c r="G8" s="27">
        <f>STDEV('1. Raw Data'!Q8:Q13)</f>
        <v>96.70108583</v>
      </c>
      <c r="H8" s="31">
        <f>STDEV('1. Raw Data'!Q26:Q31)</f>
        <v>283.604243</v>
      </c>
      <c r="I8" s="27">
        <f>STDEV('1. Raw Data'!Q44:Q49)</f>
        <v>187.4368338</v>
      </c>
      <c r="J8" s="14" t="s">
        <v>46</v>
      </c>
      <c r="K8" s="28">
        <f t="shared" ref="K8:M8" si="7">((G8/C8)*100)</f>
        <v>121.6365859</v>
      </c>
      <c r="L8" s="29">
        <f t="shared" si="7"/>
        <v>77.52279992</v>
      </c>
      <c r="M8" s="29">
        <f t="shared" si="7"/>
        <v>109.5054531</v>
      </c>
      <c r="N8" s="14" t="s">
        <v>52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3.25" customHeight="1">
      <c r="A9" s="24"/>
      <c r="B9" s="26" t="s">
        <v>31</v>
      </c>
      <c r="C9" s="27">
        <f>AVERAGE('1. Raw Data'!R8:R13)</f>
        <v>2.5</v>
      </c>
      <c r="D9" s="28">
        <f>AVERAGE('1. Raw Data'!R26:R31)</f>
        <v>7.5</v>
      </c>
      <c r="E9" s="27">
        <f>AVERAGE('1. Raw Data'!R44:R49)</f>
        <v>3.5</v>
      </c>
      <c r="F9" s="30" t="s">
        <v>46</v>
      </c>
      <c r="G9" s="27">
        <f>STDEV('1. Raw Data'!R8:R13)</f>
        <v>2.738612788</v>
      </c>
      <c r="H9" s="27">
        <f>STDEV('1. Raw Data'!R26:R31)</f>
        <v>1.516575089</v>
      </c>
      <c r="I9" s="31">
        <f>STDEV('1. Raw Data'!R44:R49)</f>
        <v>2.810693865</v>
      </c>
      <c r="J9" s="14" t="s">
        <v>52</v>
      </c>
      <c r="K9" s="28">
        <f t="shared" ref="K9:M9" si="8">((G9/C9)*100)</f>
        <v>109.5445115</v>
      </c>
      <c r="L9" s="29">
        <f t="shared" si="8"/>
        <v>20.22100118</v>
      </c>
      <c r="M9" s="29">
        <f t="shared" si="8"/>
        <v>80.30553899</v>
      </c>
      <c r="N9" s="14" t="s">
        <v>52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3.25" customHeight="1">
      <c r="A10" s="5" t="s">
        <v>53</v>
      </c>
      <c r="B10" s="6" t="s">
        <v>28</v>
      </c>
      <c r="C10" s="17">
        <f>AVERAGE('1. Raw Data'!O14:O19)</f>
        <v>20639.5</v>
      </c>
      <c r="D10" s="9">
        <f>AVERAGE('1. Raw Data'!O32:O37)</f>
        <v>4871.166667</v>
      </c>
      <c r="E10" s="9">
        <f>AVERAGE('1. Raw Data'!O50:O55)</f>
        <v>6978.5</v>
      </c>
      <c r="F10" s="23" t="s">
        <v>52</v>
      </c>
      <c r="G10" s="17">
        <f>STDEV('1. Raw Data'!O14:O19)</f>
        <v>38123.88416</v>
      </c>
      <c r="H10" s="11">
        <f>STDEV('1. Raw Data'!O32:O37)</f>
        <v>395.2884601</v>
      </c>
      <c r="I10" s="9">
        <f>STDEV('1. Raw Data'!O50:O55)</f>
        <v>3941.405067</v>
      </c>
      <c r="J10" s="23" t="s">
        <v>52</v>
      </c>
      <c r="K10" s="17">
        <f t="shared" ref="K10:M10" si="9">((G10/C10)*100)</f>
        <v>184.7132157</v>
      </c>
      <c r="L10" s="9">
        <f t="shared" si="9"/>
        <v>8.11486215</v>
      </c>
      <c r="M10" s="9">
        <f t="shared" si="9"/>
        <v>56.47925868</v>
      </c>
      <c r="N10" s="23" t="s">
        <v>52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23.25" customHeight="1">
      <c r="A11" s="18"/>
      <c r="B11" s="6" t="s">
        <v>29</v>
      </c>
      <c r="C11" s="17">
        <f>AVERAGE('1. Raw Data'!P14:P19)</f>
        <v>33006.83333</v>
      </c>
      <c r="D11" s="9">
        <f>AVERAGE('1. Raw Data'!P32:P37)</f>
        <v>10420.16667</v>
      </c>
      <c r="E11" s="9">
        <f>AVERAGE('1. Raw Data'!P50:P55)</f>
        <v>11939</v>
      </c>
      <c r="F11" s="23" t="s">
        <v>52</v>
      </c>
      <c r="G11" s="17">
        <f>STDEV('1. Raw Data'!P14:P19)</f>
        <v>56490.52212</v>
      </c>
      <c r="H11" s="9">
        <f>STDEV('1. Raw Data'!P32:P37)</f>
        <v>1453.143959</v>
      </c>
      <c r="I11" s="9">
        <f>STDEV('1. Raw Data'!P50:P55)</f>
        <v>4654.769511</v>
      </c>
      <c r="J11" s="23" t="s">
        <v>52</v>
      </c>
      <c r="K11" s="17">
        <f t="shared" ref="K11:M11" si="10">((G11/C11)*100)</f>
        <v>171.1479606</v>
      </c>
      <c r="L11" s="9">
        <f t="shared" si="10"/>
        <v>13.94549632</v>
      </c>
      <c r="M11" s="9">
        <f t="shared" si="10"/>
        <v>38.98793459</v>
      </c>
      <c r="N11" s="23" t="s">
        <v>52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3.25" customHeight="1">
      <c r="A12" s="18"/>
      <c r="B12" s="6" t="s">
        <v>30</v>
      </c>
      <c r="C12" s="17">
        <f>AVERAGE('1. Raw Data'!Q14:Q19)</f>
        <v>1848.333333</v>
      </c>
      <c r="D12" s="11">
        <f>AVERAGE('1. Raw Data'!Q32:Q37)</f>
        <v>788</v>
      </c>
      <c r="E12" s="9">
        <f>AVERAGE('1. Raw Data'!Q50:Q55)</f>
        <v>1068.333333</v>
      </c>
      <c r="F12" s="23" t="s">
        <v>52</v>
      </c>
      <c r="G12" s="17">
        <f>STDEV('1. Raw Data'!Q14:Q19)</f>
        <v>3796.672368</v>
      </c>
      <c r="H12" s="11">
        <f>STDEV('1. Raw Data'!Q32:Q37)</f>
        <v>660.6781365</v>
      </c>
      <c r="I12" s="11">
        <f>STDEV('1. Raw Data'!Q50:Q55)</f>
        <v>777.7618316</v>
      </c>
      <c r="J12" s="14" t="s">
        <v>52</v>
      </c>
      <c r="K12" s="17">
        <f t="shared" ref="K12:M12" si="11">((G12/C12)*100)</f>
        <v>205.410588</v>
      </c>
      <c r="L12" s="9">
        <f t="shared" si="11"/>
        <v>83.8424031</v>
      </c>
      <c r="M12" s="9">
        <f t="shared" si="11"/>
        <v>72.80141949</v>
      </c>
      <c r="N12" s="23" t="s">
        <v>50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3.25" customHeight="1">
      <c r="A13" s="24"/>
      <c r="B13" s="6" t="s">
        <v>31</v>
      </c>
      <c r="C13" s="22">
        <f>AVERAGE('1. Raw Data'!R14:R19)</f>
        <v>12.16666667</v>
      </c>
      <c r="D13" s="11">
        <f>AVERAGE('1. Raw Data'!R32:R37)</f>
        <v>10.66666667</v>
      </c>
      <c r="E13" s="11">
        <f>AVERAGE('1. Raw Data'!R50:R55)</f>
        <v>12.33333333</v>
      </c>
      <c r="F13" s="23" t="s">
        <v>52</v>
      </c>
      <c r="G13" s="22">
        <f>STDEV('1. Raw Data'!R14:R19)</f>
        <v>19.37438171</v>
      </c>
      <c r="H13" s="11">
        <f>STDEV('1. Raw Data'!R32:R37)</f>
        <v>8.358628277</v>
      </c>
      <c r="I13" s="11">
        <f>STDEV('1. Raw Data'!R50:R55)</f>
        <v>6.918574034</v>
      </c>
      <c r="J13" s="14" t="s">
        <v>50</v>
      </c>
      <c r="K13" s="17">
        <f t="shared" ref="K13:M13" si="12">((G13/C13)*100)</f>
        <v>159.2414935</v>
      </c>
      <c r="L13" s="9">
        <f t="shared" si="12"/>
        <v>78.36214009</v>
      </c>
      <c r="M13" s="9">
        <f t="shared" si="12"/>
        <v>56.09654622</v>
      </c>
      <c r="N13" s="23" t="s">
        <v>50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3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3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3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3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3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3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3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3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3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3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3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3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3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3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3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3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3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3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3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3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3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3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3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3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3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3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3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3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3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3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3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3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3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3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3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3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3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3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3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3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3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3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3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3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3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3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3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3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3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23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23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3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23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23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23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3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23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23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23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23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23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23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23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23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23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3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23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23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23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23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23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23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23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23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23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23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23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23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23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23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23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23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23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23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23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23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23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23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23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23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23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23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23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23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23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23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23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23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23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23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23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23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23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23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23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23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23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23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23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23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23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23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23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23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23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23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23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23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23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23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23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23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23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23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23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23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23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23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23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23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23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23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23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23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23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23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23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23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23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23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23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23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23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23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23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23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23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23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23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23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23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23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23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23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23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23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23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23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23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23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23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23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23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23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23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23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23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23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23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23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23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23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23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23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23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23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23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23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23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23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23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23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23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23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23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23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23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23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23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23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23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23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23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23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23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23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23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23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23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23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23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23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23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23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23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23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23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23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23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23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23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23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23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23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23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23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23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23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23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23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23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23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23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23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23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23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23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23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23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23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23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23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23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23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23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23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23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23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23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23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23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23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23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23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23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23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23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23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23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23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23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23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23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23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23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23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23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23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23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23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23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23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23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23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23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23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23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23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23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23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23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23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23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23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23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23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23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23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23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23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23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23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23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23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23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23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23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23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23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23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23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23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23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23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23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23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23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23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23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23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23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23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23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23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23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23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23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23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23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23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23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23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23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23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23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23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23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23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23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23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23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23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23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23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23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23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23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23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23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23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23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23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23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23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23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23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23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23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23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23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23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23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23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23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23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23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23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23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23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23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23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23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23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23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23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23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23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23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23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23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23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23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23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23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23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23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23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23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23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23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23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23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23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23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23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23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23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23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23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23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23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23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23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23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23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23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23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23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23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23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23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23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23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23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23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23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23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23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23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23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23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23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23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23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23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23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23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23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23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23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23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23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23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23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23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23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23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23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23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23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23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23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23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23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23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23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23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23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23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23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23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23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23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23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23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23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23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23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23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23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23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23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23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23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23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23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23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23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23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23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23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23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23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23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23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23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23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23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23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23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23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23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23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23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23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23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23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23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23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23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23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23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23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23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23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23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23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23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23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23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23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23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23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23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23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23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23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23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23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23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23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23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23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23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23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23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23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23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23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23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23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23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23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23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23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23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23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23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23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23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23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23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23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23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23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23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23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23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23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23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23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23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23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23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23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23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23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23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23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23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23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23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23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23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23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23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23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23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23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23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23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23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23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23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23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23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23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23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23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23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23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23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23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23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23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23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23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23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23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23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23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23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23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23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23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23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23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23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23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23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23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23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23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23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23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23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23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23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23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23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23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23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23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23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23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23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23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23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23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23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23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23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23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23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23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23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23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23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23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23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23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23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23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23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23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23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23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23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23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23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23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23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23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23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23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23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23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23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23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23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23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23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23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23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23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23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23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23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23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23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23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23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23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23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23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23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23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23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23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23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23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23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23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23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23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23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23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23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23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23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23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23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23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23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23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23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23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23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23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23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23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23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23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23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23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23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23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23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23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23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23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23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23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23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23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23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23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23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23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23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23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23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23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23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23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23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23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23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23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23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23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23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23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23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23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23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23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23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23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23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23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23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23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23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23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23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23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23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23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23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23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23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23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23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23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23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23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23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23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23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23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23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23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23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23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23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23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23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23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23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23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23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23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23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23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23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23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23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23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23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23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23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23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23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23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23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23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23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23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23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23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23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23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23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23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23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23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23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23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23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23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23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23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23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23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23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23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23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23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23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23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23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23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23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23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23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23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23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23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23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23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23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23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23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23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23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23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23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23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23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23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23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23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23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23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23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23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23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23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23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23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23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23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23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23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23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23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23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23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23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23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23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23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23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23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23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23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23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23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23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23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23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23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23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23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23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23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23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23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23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23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23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23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23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23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23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23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23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23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23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23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23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23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23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23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23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23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23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23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23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23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23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23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23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23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23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23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23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23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23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23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23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23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23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23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23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23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23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23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23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23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23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23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23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23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23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23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23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23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23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23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23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23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23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23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23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23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23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23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23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23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23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23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23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23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23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23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23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23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23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23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23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23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23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23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23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23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23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23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23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23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23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23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23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23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23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23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23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23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23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23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23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</sheetData>
  <autoFilter ref="$A$1:$N$13"/>
  <mergeCells count="3">
    <mergeCell ref="A2:A5"/>
    <mergeCell ref="A6:A9"/>
    <mergeCell ref="A10:A1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6.43"/>
    <col customWidth="1" min="3" max="3" width="14.71"/>
    <col customWidth="1" min="4" max="4" width="20.0"/>
    <col customWidth="1" min="5" max="5" width="17.71"/>
    <col customWidth="1" min="6" max="6" width="9.86"/>
    <col customWidth="1" min="7" max="7" width="20.29"/>
    <col customWidth="1" min="8" max="8" width="25.43"/>
    <col customWidth="1" min="9" max="9" width="23.14"/>
    <col customWidth="1" min="10" max="10" width="14.0"/>
    <col customWidth="1" min="11" max="11" width="15.57"/>
    <col customWidth="1" min="12" max="12" width="20.86"/>
    <col customWidth="1" min="13" max="13" width="18.57"/>
    <col customWidth="1" min="14" max="14" width="15.14"/>
    <col customWidth="1" min="15" max="26" width="16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1" t="s">
        <v>11</v>
      </c>
      <c r="L1" s="1" t="s">
        <v>12</v>
      </c>
      <c r="M1" s="1" t="s">
        <v>14</v>
      </c>
      <c r="N1" s="2" t="s">
        <v>16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22.5" customHeight="1">
      <c r="A2" s="5" t="s">
        <v>25</v>
      </c>
      <c r="B2" s="6" t="s">
        <v>28</v>
      </c>
      <c r="C2" s="9">
        <f>AVERAGE('1. Raw Data'!O2:O7)</f>
        <v>2.5</v>
      </c>
      <c r="D2" s="11">
        <f>AVERAGE('1. Raw Data'!O20:O25)</f>
        <v>2.666666667</v>
      </c>
      <c r="E2" s="11">
        <f>AVERAGE('1. Raw Data'!O38:O43)</f>
        <v>2.666666667</v>
      </c>
      <c r="F2" s="51" t="s">
        <v>47</v>
      </c>
      <c r="G2" s="9">
        <f>STDEV('1. Raw Data'!O2:O7)</f>
        <v>0.5477225575</v>
      </c>
      <c r="H2" s="11">
        <f>STDEV('1. Raw Data'!O20:O25)</f>
        <v>0.5163977795</v>
      </c>
      <c r="I2" s="11">
        <f>STDEV('1. Raw Data'!O38:O43)</f>
        <v>0.5163977795</v>
      </c>
      <c r="J2" s="51" t="s">
        <v>52</v>
      </c>
      <c r="K2" s="17">
        <f t="shared" ref="K2:M2" si="1">((G2/C2)*100)</f>
        <v>21.9089023</v>
      </c>
      <c r="L2" s="9">
        <f t="shared" si="1"/>
        <v>19.36491673</v>
      </c>
      <c r="M2" s="9">
        <f t="shared" si="1"/>
        <v>19.36491673</v>
      </c>
      <c r="N2" s="14" t="s">
        <v>52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18"/>
      <c r="B3" s="6" t="s">
        <v>29</v>
      </c>
      <c r="C3" s="11">
        <f>AVERAGE('1. Raw Data'!P2:P7)</f>
        <v>4</v>
      </c>
      <c r="D3" s="11">
        <f>AVERAGE('1. Raw Data'!P20:P25)</f>
        <v>4</v>
      </c>
      <c r="E3" s="11">
        <f>AVERAGE('1. Raw Data'!P38:P43)</f>
        <v>4</v>
      </c>
      <c r="F3" s="51" t="s">
        <v>47</v>
      </c>
      <c r="G3" s="9" t="str">
        <f>STDEV('1. Raw Data'!P2:P7)</f>
        <v>#DIV/0!</v>
      </c>
      <c r="H3" s="11" t="str">
        <f>STDEV('1. Raw Data'!P20:P25)</f>
        <v>#DIV/0!</v>
      </c>
      <c r="I3" s="11">
        <f>STDEV('1. Raw Data'!P38:P43)</f>
        <v>0</v>
      </c>
      <c r="J3" s="51" t="s">
        <v>47</v>
      </c>
      <c r="K3" s="9" t="str">
        <f t="shared" ref="K3:M3" si="2">((G3/C3)*100)</f>
        <v>#DIV/0!</v>
      </c>
      <c r="L3" s="9" t="str">
        <f t="shared" si="2"/>
        <v>#DIV/0!</v>
      </c>
      <c r="M3" s="9">
        <f t="shared" si="2"/>
        <v>0</v>
      </c>
      <c r="N3" s="14" t="s">
        <v>47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18"/>
      <c r="B4" s="6" t="s">
        <v>30</v>
      </c>
      <c r="C4" s="11">
        <f>AVERAGE('1. Raw Data'!Q2:Q7)</f>
        <v>11</v>
      </c>
      <c r="D4" s="22">
        <f>AVERAGE('1. Raw Data'!Q20:Q25)</f>
        <v>18.5</v>
      </c>
      <c r="E4" s="11">
        <f>AVERAGE('1. Raw Data'!Q38:Q43)</f>
        <v>17.66666667</v>
      </c>
      <c r="F4" s="52" t="s">
        <v>46</v>
      </c>
      <c r="G4" s="9">
        <f>STDEV('1. Raw Data'!Q2:Q7)</f>
        <v>17.052859</v>
      </c>
      <c r="H4" s="22">
        <f>STDEV('1. Raw Data'!Q20:Q25)</f>
        <v>20.74367373</v>
      </c>
      <c r="I4" s="11">
        <f>STDEV('1. Raw Data'!Q38:Q43)</f>
        <v>19.72477292</v>
      </c>
      <c r="J4" s="52" t="s">
        <v>46</v>
      </c>
      <c r="K4" s="17">
        <f t="shared" ref="K4:M4" si="3">((G4/C4)*100)</f>
        <v>155.0259909</v>
      </c>
      <c r="L4" s="9">
        <f t="shared" si="3"/>
        <v>112.1279661</v>
      </c>
      <c r="M4" s="9">
        <f t="shared" si="3"/>
        <v>111.649658</v>
      </c>
      <c r="N4" s="23" t="s">
        <v>50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24"/>
      <c r="B5" s="6" t="s">
        <v>31</v>
      </c>
      <c r="C5" s="11">
        <f>AVERAGE('1. Raw Data'!R2:R7)</f>
        <v>0.6666666667</v>
      </c>
      <c r="D5" s="22">
        <f>AVERAGE('1. Raw Data'!R20:R25)</f>
        <v>1.166666667</v>
      </c>
      <c r="E5" s="11">
        <f>AVERAGE('1. Raw Data'!R38:R43)</f>
        <v>1</v>
      </c>
      <c r="F5" s="52" t="s">
        <v>46</v>
      </c>
      <c r="G5" s="9">
        <f>STDEV('1. Raw Data'!R2:R7)</f>
        <v>1.032795559</v>
      </c>
      <c r="H5" s="22">
        <f>STDEV('1. Raw Data'!R20:R25)</f>
        <v>1.329160136</v>
      </c>
      <c r="I5" s="11">
        <f>STDEV('1. Raw Data'!R38:R43)</f>
        <v>1.095445115</v>
      </c>
      <c r="J5" s="52" t="s">
        <v>46</v>
      </c>
      <c r="K5" s="17">
        <f t="shared" ref="K5:M5" si="4">((G5/C5)*100)</f>
        <v>154.9193338</v>
      </c>
      <c r="L5" s="9">
        <f t="shared" si="4"/>
        <v>113.9280116</v>
      </c>
      <c r="M5" s="9">
        <f t="shared" si="4"/>
        <v>109.5445115</v>
      </c>
      <c r="N5" s="23" t="s">
        <v>50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25" t="s">
        <v>51</v>
      </c>
      <c r="B6" s="26" t="s">
        <v>28</v>
      </c>
      <c r="C6" s="31">
        <f>AVERAGE('1. Raw Data'!O7:O12)</f>
        <v>957</v>
      </c>
      <c r="D6" s="29">
        <f>AVERAGE('1. Raw Data'!O26,'1. Raw Data'!O28:O31)</f>
        <v>151</v>
      </c>
      <c r="E6" s="29">
        <f>AVERAGE('1. Raw Data'!O44:O48)</f>
        <v>5</v>
      </c>
      <c r="F6" s="51" t="s">
        <v>50</v>
      </c>
      <c r="G6" s="28">
        <f>STDEV('1. Raw Data'!O8:O13)</f>
        <v>1877.798924</v>
      </c>
      <c r="H6" s="29">
        <f>STDEV('1. Raw Data'!O26,'1. Raw Data'!O28:O31)</f>
        <v>190.0078946</v>
      </c>
      <c r="I6" s="27">
        <f>STDEV('1. Raw Data'!O44:O48)</f>
        <v>3.16227766</v>
      </c>
      <c r="J6" s="51" t="s">
        <v>50</v>
      </c>
      <c r="K6" s="28">
        <f t="shared" ref="K6:M6" si="5">((G6/C6)*100)</f>
        <v>196.2172335</v>
      </c>
      <c r="L6" s="29">
        <f t="shared" si="5"/>
        <v>125.8330428</v>
      </c>
      <c r="M6" s="29">
        <f t="shared" si="5"/>
        <v>63.2455532</v>
      </c>
      <c r="N6" s="14" t="s">
        <v>50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18"/>
      <c r="B7" s="26" t="s">
        <v>29</v>
      </c>
      <c r="C7" s="28">
        <f>AVERAGE('1. Raw Data'!P8:P13)</f>
        <v>2576.833333</v>
      </c>
      <c r="D7" s="29">
        <f>AVERAGE('1. Raw Data'!P26,'1. Raw Data'!P28:P31)</f>
        <v>2390.8</v>
      </c>
      <c r="E7" s="29">
        <f>AVERAGE('1. Raw Data'!P44:P48)</f>
        <v>1639.4</v>
      </c>
      <c r="F7" s="55" t="s">
        <v>50</v>
      </c>
      <c r="G7" s="28">
        <f>STDEV('1. Raw Data'!P8:P13)</f>
        <v>2642.357767</v>
      </c>
      <c r="H7" s="29">
        <f>STDEV('1. Raw Data'!P26,'1. Raw Data'!P28:P31)</f>
        <v>653.5194718</v>
      </c>
      <c r="I7" s="29">
        <f>STDEV('1. Raw Data'!P44:P48)</f>
        <v>455.4698673</v>
      </c>
      <c r="J7" s="51" t="s">
        <v>50</v>
      </c>
      <c r="K7" s="28">
        <f t="shared" ref="K7:M7" si="6">((G7/C7)*100)</f>
        <v>102.5428278</v>
      </c>
      <c r="L7" s="29">
        <f t="shared" si="6"/>
        <v>27.33476124</v>
      </c>
      <c r="M7" s="29">
        <f t="shared" si="6"/>
        <v>27.78271729</v>
      </c>
      <c r="N7" s="14" t="s">
        <v>52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18"/>
      <c r="B8" s="26" t="s">
        <v>30</v>
      </c>
      <c r="C8" s="27">
        <f>AVERAGE('1. Raw Data'!Q8:Q13)</f>
        <v>79.5</v>
      </c>
      <c r="D8" s="28">
        <f>AVERAGE('1. Raw Data'!Q26,'1. Raw Data'!Q28:Q31)</f>
        <v>272.2</v>
      </c>
      <c r="E8" s="27">
        <f>AVERAGE('1. Raw Data'!Q44:Q48)</f>
        <v>205.4</v>
      </c>
      <c r="F8" s="55" t="s">
        <v>46</v>
      </c>
      <c r="G8" s="27">
        <f>STDEV('1. Raw Data'!Q8:Q13)</f>
        <v>96.70108583</v>
      </c>
      <c r="H8" s="27">
        <f>STDEV('1. Raw Data'!Q26,'1. Raw Data'!Q28:Q31)</f>
        <v>186.5079087</v>
      </c>
      <c r="I8" s="31">
        <f>STDEV('1. Raw Data'!Q44:Q48)</f>
        <v>187.4201163</v>
      </c>
      <c r="J8" s="51" t="s">
        <v>46</v>
      </c>
      <c r="K8" s="28">
        <f t="shared" ref="K8:M8" si="7">((G8/C8)*100)</f>
        <v>121.6365859</v>
      </c>
      <c r="L8" s="29">
        <f t="shared" si="7"/>
        <v>68.51870267</v>
      </c>
      <c r="M8" s="29">
        <f t="shared" si="7"/>
        <v>91.24640522</v>
      </c>
      <c r="N8" s="14" t="s">
        <v>52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24"/>
      <c r="B9" s="26" t="s">
        <v>31</v>
      </c>
      <c r="C9" s="27">
        <f>AVERAGE('1. Raw Data'!R8:R13)</f>
        <v>2.5</v>
      </c>
      <c r="D9" s="28">
        <f>AVERAGE('1. Raw Data'!R26,'1. Raw Data'!R28:R31)</f>
        <v>7</v>
      </c>
      <c r="E9" s="27">
        <f>AVERAGE('1. Raw Data'!R44:R48)</f>
        <v>4.2</v>
      </c>
      <c r="F9" s="55" t="s">
        <v>46</v>
      </c>
      <c r="G9" s="31">
        <f>STDEV('1. Raw Data'!R8:R13)</f>
        <v>2.738612788</v>
      </c>
      <c r="H9" s="27">
        <f>STDEV('1. Raw Data'!R26,'1. Raw Data'!R28:R31)</f>
        <v>1</v>
      </c>
      <c r="I9" s="27">
        <f>STDEV('1. Raw Data'!R44:R48)</f>
        <v>2.48997992</v>
      </c>
      <c r="J9" s="51" t="s">
        <v>52</v>
      </c>
      <c r="K9" s="28">
        <f t="shared" ref="K9:M9" si="8">((G9/C9)*100)</f>
        <v>109.5445115</v>
      </c>
      <c r="L9" s="29">
        <f t="shared" si="8"/>
        <v>14.28571429</v>
      </c>
      <c r="M9" s="29">
        <f t="shared" si="8"/>
        <v>59.28523618</v>
      </c>
      <c r="N9" s="14" t="s">
        <v>52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5" t="s">
        <v>53</v>
      </c>
      <c r="B10" s="6" t="s">
        <v>28</v>
      </c>
      <c r="C10" s="9">
        <f>AVERAGE('1. Raw Data'!O14:O17,'1. Raw Data'!O19)</f>
        <v>5078</v>
      </c>
      <c r="D10" s="9">
        <f>AVERAGE('1. Raw Data'!O32:O37)</f>
        <v>4871.166667</v>
      </c>
      <c r="E10" s="22">
        <f>AVERAGE('1. Raw Data'!O50:O51,'1. Raw Data'!O53:O55)</f>
        <v>5387.4</v>
      </c>
      <c r="F10" s="51" t="s">
        <v>52</v>
      </c>
      <c r="G10" s="17">
        <f>STDEV('1. Raw Data'!O14:O17,'1. Raw Data'!O19)</f>
        <v>765.5471899</v>
      </c>
      <c r="H10" s="11">
        <f>STDEV('1. Raw Data'!O32:O37)</f>
        <v>395.2884601</v>
      </c>
      <c r="I10" s="11">
        <f>STDEV('1. Raw Data'!O50:O51,'1. Raw Data'!O53:O55)</f>
        <v>656.7711169</v>
      </c>
      <c r="J10" s="51" t="s">
        <v>52</v>
      </c>
      <c r="K10" s="22">
        <f t="shared" ref="K10:M10" si="9">(G10/C10)*100</f>
        <v>15.07576191</v>
      </c>
      <c r="L10" s="11">
        <f t="shared" si="9"/>
        <v>8.11486215</v>
      </c>
      <c r="M10" s="11">
        <f t="shared" si="9"/>
        <v>12.19087346</v>
      </c>
      <c r="N10" s="14" t="s">
        <v>52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8"/>
      <c r="B11" s="6" t="s">
        <v>29</v>
      </c>
      <c r="C11" s="9">
        <f>AVERAGE('1. Raw Data'!P14:P17,'1. Raw Data'!P19)</f>
        <v>9958.8</v>
      </c>
      <c r="D11" s="11">
        <f>AVERAGE('1. Raw Data'!P32:P37)</f>
        <v>10420.16667</v>
      </c>
      <c r="E11" s="17">
        <f>AVERAGE('1. Raw Data'!P50:P51,'1. Raw Data'!P53:P55)</f>
        <v>10048</v>
      </c>
      <c r="F11" s="51" t="s">
        <v>52</v>
      </c>
      <c r="G11" s="17">
        <f>STDEV('1. Raw Data'!P14:P17,'1. Raw Data'!P19)</f>
        <v>2210.216664</v>
      </c>
      <c r="H11" s="9">
        <f>STDEV('1. Raw Data'!P32:P37)</f>
        <v>1453.143959</v>
      </c>
      <c r="I11" s="9">
        <f>STDEV('1. Raw Data'!P50:P51,'1. Raw Data'!P53:P55)</f>
        <v>514.287371</v>
      </c>
      <c r="J11" s="52" t="s">
        <v>50</v>
      </c>
      <c r="K11" s="11">
        <f t="shared" ref="K11:M11" si="10">(G11/C11)*100</f>
        <v>22.19360429</v>
      </c>
      <c r="L11" s="22">
        <f t="shared" si="10"/>
        <v>13.94549632</v>
      </c>
      <c r="M11" s="11">
        <f t="shared" si="10"/>
        <v>5.118305842</v>
      </c>
      <c r="N11" s="23" t="s">
        <v>50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18"/>
      <c r="B12" s="6" t="s">
        <v>30</v>
      </c>
      <c r="C12" s="9">
        <f>AVERAGE('1. Raw Data'!Q14:Q17,'1. Raw Data'!Q19)</f>
        <v>307</v>
      </c>
      <c r="D12" s="11">
        <f>AVERAGE('1. Raw Data'!Q32:Q37)</f>
        <v>788</v>
      </c>
      <c r="E12" s="17">
        <f>AVERAGE('1. Raw Data'!Q50:Q51,'1. Raw Data'!Q53:Q55)</f>
        <v>822.6</v>
      </c>
      <c r="F12" s="51" t="s">
        <v>46</v>
      </c>
      <c r="G12" s="9">
        <f>STDEV('1. Raw Data'!Q14:Q17,'1. Raw Data'!Q19)</f>
        <v>447.870517</v>
      </c>
      <c r="H12" s="22">
        <f>STDEV('1. Raw Data'!Q32:Q37)</f>
        <v>660.6781365</v>
      </c>
      <c r="I12" s="11">
        <f>STDEV('1. Raw Data'!Q50:Q51,'1. Raw Data'!Q53:Q55)</f>
        <v>550.6862083</v>
      </c>
      <c r="J12" s="51" t="s">
        <v>46</v>
      </c>
      <c r="K12" s="22">
        <f t="shared" ref="K12:M12" si="11">(G12/C12)*100</f>
        <v>145.8861619</v>
      </c>
      <c r="L12" s="11">
        <f t="shared" si="11"/>
        <v>83.8424031</v>
      </c>
      <c r="M12" s="11">
        <f t="shared" si="11"/>
        <v>66.94459133</v>
      </c>
      <c r="N12" s="23" t="s">
        <v>50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24"/>
      <c r="B13" s="6" t="s">
        <v>31</v>
      </c>
      <c r="C13" s="11">
        <f>AVERAGE('1. Raw Data'!R14:R17,'1. Raw Data'!R19)</f>
        <v>4.6</v>
      </c>
      <c r="D13" s="22">
        <f>AVERAGE('1. Raw Data'!R32:R37)</f>
        <v>10.66666667</v>
      </c>
      <c r="E13" s="11">
        <f>AVERAGE('1. Raw Data'!R50:R51,'1. Raw Data'!R53:R55)</f>
        <v>10.6</v>
      </c>
      <c r="F13" s="52" t="s">
        <v>46</v>
      </c>
      <c r="G13" s="11">
        <f>STDEV('1. Raw Data'!R14:R17,'1. Raw Data'!R19)</f>
        <v>6.308724118</v>
      </c>
      <c r="H13" s="22">
        <f>STDEV('1. Raw Data'!R32:R37)</f>
        <v>8.358628277</v>
      </c>
      <c r="I13" s="11">
        <f>STDEV('1. Raw Data'!R50:R51,'1. Raw Data'!R53:R55)</f>
        <v>6.107372594</v>
      </c>
      <c r="J13" s="51" t="s">
        <v>50</v>
      </c>
      <c r="K13" s="22">
        <f t="shared" ref="K13:M13" si="12">(G13/C13)*100</f>
        <v>137.1461765</v>
      </c>
      <c r="L13" s="11">
        <f t="shared" si="12"/>
        <v>78.36214009</v>
      </c>
      <c r="M13" s="11">
        <f t="shared" si="12"/>
        <v>57.61672258</v>
      </c>
      <c r="N13" s="23" t="s">
        <v>50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4"/>
      <c r="B15" s="4"/>
      <c r="C15" s="4"/>
      <c r="D15" s="4"/>
      <c r="E15" s="4"/>
      <c r="F15" s="4"/>
      <c r="G15" s="6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2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2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2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2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2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2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2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2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2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2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2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2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2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2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2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2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2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2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2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2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2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2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2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2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2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2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2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2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2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2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2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2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2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2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2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2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2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2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2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2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2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2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2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2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2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2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2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2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2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2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2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2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2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2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2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2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2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2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2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2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2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2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2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2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2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2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2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2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2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2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2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2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2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2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2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2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2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2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2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2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2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2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2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2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2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2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2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2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2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2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2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2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2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2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2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2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2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2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2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2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2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2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2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2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2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2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2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2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2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2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2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2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2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2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2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2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2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2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2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2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2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2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2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2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2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2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2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2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2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2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2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2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2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2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2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2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2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2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2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2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2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2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2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2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2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2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2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2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2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2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2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2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2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2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2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2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2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2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2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2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2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2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2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2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2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2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2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2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2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2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2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2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2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2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2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2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2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2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2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2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2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2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2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2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2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2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2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2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2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2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2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2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2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2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2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2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2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2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2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2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2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2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2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2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2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2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2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2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2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2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2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2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2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2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2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2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2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2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2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2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2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2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2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2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2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2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2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2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2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2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2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2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2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2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2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2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2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2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2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2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2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2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2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2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2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2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2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2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2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2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2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2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2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2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2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2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2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2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2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2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2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2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2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2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2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2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2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2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2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2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2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2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2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2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2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2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2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2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2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2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2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2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2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2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2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2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2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2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2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2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2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2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2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2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2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2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2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2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2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2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2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2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2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2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2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2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2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2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2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2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2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2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2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2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2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2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2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2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2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2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2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2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2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2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2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</sheetData>
  <autoFilter ref="$A$1:$N$13"/>
  <mergeCells count="3">
    <mergeCell ref="A2:A5"/>
    <mergeCell ref="A6:A9"/>
    <mergeCell ref="A10:A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6.29"/>
    <col customWidth="1" min="3" max="3" width="14.71"/>
    <col customWidth="1" min="4" max="4" width="22.29"/>
    <col customWidth="1" min="5" max="5" width="19.0"/>
    <col customWidth="1" min="6" max="6" width="13.86"/>
    <col customWidth="1" min="7" max="7" width="14.0"/>
    <col customWidth="1" min="8" max="8" width="25.57"/>
    <col customWidth="1" min="9" max="25" width="8.71"/>
  </cols>
  <sheetData>
    <row r="1" ht="42.0" customHeight="1">
      <c r="A1" s="1" t="s">
        <v>0</v>
      </c>
      <c r="B1" s="1" t="s">
        <v>1</v>
      </c>
      <c r="C1" s="1" t="s">
        <v>57</v>
      </c>
      <c r="D1" s="1" t="s">
        <v>58</v>
      </c>
      <c r="E1" s="1" t="s">
        <v>59</v>
      </c>
      <c r="F1" s="2" t="s">
        <v>60</v>
      </c>
      <c r="G1" s="2" t="s">
        <v>61</v>
      </c>
      <c r="H1" s="1" t="s">
        <v>62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5.5" customHeight="1">
      <c r="A2" s="5" t="s">
        <v>25</v>
      </c>
      <c r="B2" s="6" t="s">
        <v>28</v>
      </c>
      <c r="C2" s="9">
        <f>AVERAGE('1. Raw Data'!O2:O7)</f>
        <v>2.5</v>
      </c>
      <c r="D2" s="11">
        <f>AVERAGE('1. Raw Data'!O20:O25)</f>
        <v>2.666666667</v>
      </c>
      <c r="E2" s="11">
        <f>AVERAGE('1. Raw Data'!O38:O43)</f>
        <v>2.666666667</v>
      </c>
      <c r="F2" s="51" t="s">
        <v>47</v>
      </c>
      <c r="G2" s="53">
        <v>0.0</v>
      </c>
      <c r="H2" s="54" t="s">
        <v>63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5.5" customHeight="1">
      <c r="A3" s="18"/>
      <c r="B3" s="54" t="s">
        <v>29</v>
      </c>
      <c r="C3" s="11">
        <f>AVERAGE('1. Raw Data'!P2:P7)</f>
        <v>4</v>
      </c>
      <c r="D3" s="11">
        <f>AVERAGE('1. Raw Data'!P20:P25)</f>
        <v>4</v>
      </c>
      <c r="E3" s="11">
        <f>AVERAGE('1. Raw Data'!P38:P43)</f>
        <v>4</v>
      </c>
      <c r="F3" s="51" t="s">
        <v>47</v>
      </c>
      <c r="G3" s="53">
        <v>0.0</v>
      </c>
      <c r="H3" s="54" t="s">
        <v>64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5.5" customHeight="1">
      <c r="A4" s="18"/>
      <c r="B4" s="6" t="s">
        <v>30</v>
      </c>
      <c r="C4" s="56">
        <f>AVERAGE('1. Raw Data'!Q2:Q7)</f>
        <v>11</v>
      </c>
      <c r="D4" s="22">
        <f>AVERAGE('1. Raw Data'!Q20:Q25)</f>
        <v>18.5</v>
      </c>
      <c r="E4" s="11">
        <f>AVERAGE('1. Raw Data'!Q38:Q43)</f>
        <v>17.66666667</v>
      </c>
      <c r="F4" s="52" t="s">
        <v>46</v>
      </c>
      <c r="G4" s="53">
        <f t="shared" ref="G4:G5" si="1">(D4-C4)/C4</f>
        <v>0.6818181818</v>
      </c>
      <c r="H4" s="54" t="s">
        <v>65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5.5" customHeight="1">
      <c r="A5" s="24"/>
      <c r="B5" s="6" t="s">
        <v>31</v>
      </c>
      <c r="C5" s="56">
        <f>AVERAGE('1. Raw Data'!R2:R7)</f>
        <v>0.6666666667</v>
      </c>
      <c r="D5" s="22">
        <f>AVERAGE('1. Raw Data'!R20:R25)</f>
        <v>1.166666667</v>
      </c>
      <c r="E5" s="11">
        <f>AVERAGE('1. Raw Data'!R38:R43)</f>
        <v>1</v>
      </c>
      <c r="F5" s="52" t="s">
        <v>46</v>
      </c>
      <c r="G5" s="57">
        <f t="shared" si="1"/>
        <v>0.75</v>
      </c>
      <c r="H5" s="54" t="s">
        <v>65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5.5" customHeight="1">
      <c r="A6" s="25" t="s">
        <v>51</v>
      </c>
      <c r="B6" s="26" t="s">
        <v>28</v>
      </c>
      <c r="C6" s="31">
        <f>AVERAGE('1. Raw Data'!O7:O12)</f>
        <v>957</v>
      </c>
      <c r="D6" s="29">
        <f>AVERAGE('1. Raw Data'!O26,'1. Raw Data'!O28:O31)</f>
        <v>151</v>
      </c>
      <c r="E6" s="58">
        <f>AVERAGE('1. Raw Data'!O44:O48)</f>
        <v>5</v>
      </c>
      <c r="F6" s="51" t="s">
        <v>50</v>
      </c>
      <c r="G6" s="53">
        <f t="shared" ref="G6:G7" si="2">(C6-E6)/E6</f>
        <v>190.4</v>
      </c>
      <c r="H6" s="59" t="s">
        <v>63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5.5" customHeight="1">
      <c r="A7" s="18"/>
      <c r="B7" s="59" t="s">
        <v>29</v>
      </c>
      <c r="C7" s="28">
        <f>AVERAGE('1. Raw Data'!P8:P13)</f>
        <v>2576.833333</v>
      </c>
      <c r="D7" s="29">
        <f>AVERAGE('1. Raw Data'!P26,'1. Raw Data'!P28:P31)</f>
        <v>2390.8</v>
      </c>
      <c r="E7" s="58">
        <f>AVERAGE('1. Raw Data'!P44:P48)</f>
        <v>1639.4</v>
      </c>
      <c r="F7" s="55" t="s">
        <v>50</v>
      </c>
      <c r="G7" s="53">
        <f t="shared" si="2"/>
        <v>0.5718148916</v>
      </c>
      <c r="H7" s="59" t="s">
        <v>64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5.5" customHeight="1">
      <c r="A8" s="18"/>
      <c r="B8" s="26" t="s">
        <v>30</v>
      </c>
      <c r="C8" s="58">
        <f>AVERAGE('1. Raw Data'!Q8:Q13)</f>
        <v>79.5</v>
      </c>
      <c r="D8" s="28">
        <f>AVERAGE('1. Raw Data'!Q26,'1. Raw Data'!Q28:Q31)</f>
        <v>272.2</v>
      </c>
      <c r="E8" s="27">
        <f>AVERAGE('1. Raw Data'!Q44:Q48)</f>
        <v>205.4</v>
      </c>
      <c r="F8" s="55" t="s">
        <v>46</v>
      </c>
      <c r="G8" s="53">
        <f t="shared" ref="G8:G9" si="3">(D8-C8)/C8</f>
        <v>2.423899371</v>
      </c>
      <c r="H8" s="59" t="s">
        <v>65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5.5" customHeight="1">
      <c r="A9" s="24"/>
      <c r="B9" s="26" t="s">
        <v>31</v>
      </c>
      <c r="C9" s="58">
        <f>AVERAGE('1. Raw Data'!R8:R13)</f>
        <v>2.5</v>
      </c>
      <c r="D9" s="28">
        <f>AVERAGE('1. Raw Data'!R26,'1. Raw Data'!R28:R31)</f>
        <v>7</v>
      </c>
      <c r="E9" s="27">
        <f>AVERAGE('1. Raw Data'!R44:R48)</f>
        <v>4.2</v>
      </c>
      <c r="F9" s="55" t="s">
        <v>46</v>
      </c>
      <c r="G9" s="53">
        <f t="shared" si="3"/>
        <v>1.8</v>
      </c>
      <c r="H9" s="59" t="s">
        <v>65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5.5" customHeight="1">
      <c r="A10" s="5" t="s">
        <v>53</v>
      </c>
      <c r="B10" s="6" t="s">
        <v>28</v>
      </c>
      <c r="C10" s="9">
        <f>AVERAGE('1. Raw Data'!O14:O17,'1. Raw Data'!O19)</f>
        <v>5078</v>
      </c>
      <c r="D10" s="60">
        <f>AVERAGE('1. Raw Data'!O32:O37)</f>
        <v>4871.166667</v>
      </c>
      <c r="E10" s="22">
        <f>AVERAGE('1. Raw Data'!O50:O51,'1. Raw Data'!O53:O55)</f>
        <v>5387.4</v>
      </c>
      <c r="F10" s="51" t="s">
        <v>52</v>
      </c>
      <c r="G10" s="53">
        <f>(E10-D10)/D10</f>
        <v>0.1059773497</v>
      </c>
      <c r="H10" s="54" t="s">
        <v>63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5.5" customHeight="1">
      <c r="A11" s="18"/>
      <c r="B11" s="54" t="s">
        <v>29</v>
      </c>
      <c r="C11" s="60">
        <f>AVERAGE('1. Raw Data'!P14:P17,'1. Raw Data'!P19)</f>
        <v>9958.8</v>
      </c>
      <c r="D11" s="22">
        <f>AVERAGE('1. Raw Data'!P32:P37)</f>
        <v>10420.16667</v>
      </c>
      <c r="E11" s="9">
        <f>AVERAGE('1. Raw Data'!P50:P51,'1. Raw Data'!P53:P55)</f>
        <v>10048</v>
      </c>
      <c r="F11" s="51" t="s">
        <v>46</v>
      </c>
      <c r="G11" s="53">
        <f>(D11-C11)/C11</f>
        <v>0.04632753612</v>
      </c>
      <c r="H11" s="54" t="s">
        <v>64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5.5" customHeight="1">
      <c r="A12" s="18"/>
      <c r="B12" s="6" t="s">
        <v>30</v>
      </c>
      <c r="C12" s="60">
        <f>AVERAGE('1. Raw Data'!Q14:Q17,'1. Raw Data'!Q19)</f>
        <v>307</v>
      </c>
      <c r="D12" s="11">
        <f>AVERAGE('1. Raw Data'!Q32:Q37)</f>
        <v>788</v>
      </c>
      <c r="E12" s="17">
        <f>AVERAGE('1. Raw Data'!Q50:Q51,'1. Raw Data'!Q53:Q55)</f>
        <v>822.6</v>
      </c>
      <c r="F12" s="51" t="s">
        <v>46</v>
      </c>
      <c r="G12" s="53">
        <f>(E12-C12)/C12</f>
        <v>1.679478827</v>
      </c>
      <c r="H12" s="54" t="s">
        <v>65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5.5" customHeight="1">
      <c r="A13" s="24"/>
      <c r="B13" s="6" t="s">
        <v>31</v>
      </c>
      <c r="C13" s="56">
        <f>AVERAGE('1. Raw Data'!R14:R17,'1. Raw Data'!R19)</f>
        <v>4.6</v>
      </c>
      <c r="D13" s="22">
        <f>AVERAGE('1. Raw Data'!R32:R37)</f>
        <v>10.66666667</v>
      </c>
      <c r="E13" s="11">
        <f>AVERAGE('1. Raw Data'!R50:R51,'1. Raw Data'!R53:R55)</f>
        <v>10.6</v>
      </c>
      <c r="F13" s="52" t="s">
        <v>46</v>
      </c>
      <c r="G13" s="53">
        <f>(D13-C13)/C13</f>
        <v>1.31884058</v>
      </c>
      <c r="H13" s="54" t="s">
        <v>65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5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5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5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5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5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5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5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5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5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5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5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5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5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5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5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25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5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25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25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25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25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5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25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25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5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25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5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25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25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25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25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5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5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25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5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5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25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25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25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25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25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25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25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25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25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25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25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25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25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25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25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25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25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25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25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25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25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25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25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25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25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25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25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25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25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25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25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25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25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25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25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25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25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25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25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25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25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25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25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25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25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25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25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25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25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25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25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25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25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25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25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25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25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25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25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25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25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25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25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25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25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25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25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25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25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25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25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25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25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25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25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25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25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25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25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25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25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25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25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25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25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25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25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25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25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25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25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25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25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25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25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25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25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25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25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25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25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25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25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25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25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25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25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25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25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25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25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25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25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25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25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25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25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25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25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25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25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25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25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25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25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25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25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25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25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25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25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25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25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25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25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25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25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25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25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25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25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25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25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25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25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25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25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25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25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25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25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25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25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25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25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25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25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25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25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25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25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25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25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25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25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25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25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25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25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25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25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25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25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25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25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25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25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25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25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25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25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25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25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25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25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25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25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25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25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25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25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25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25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25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25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25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25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25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25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25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25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25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25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25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25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25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25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25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25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25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25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25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25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25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25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25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25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25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25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25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25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25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25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25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25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25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25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25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25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25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25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25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25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25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25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25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25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25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25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25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25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25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25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25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25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25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25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25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25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25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25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25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25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25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25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25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25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25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25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25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25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25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25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25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25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25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25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25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25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25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25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25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25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25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25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25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25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25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25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25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25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25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25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25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25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25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25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25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25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25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25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25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25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25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25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25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25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25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25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25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25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25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25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25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25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25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25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25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25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25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25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25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25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25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25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25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25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25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25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25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25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25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25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25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25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25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25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25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25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25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25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25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25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25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25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25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25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25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25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25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25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25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25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25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25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25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25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25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25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25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25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25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25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25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25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25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25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25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25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25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25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25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25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25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25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25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25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25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25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25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25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25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25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25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25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25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25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25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25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25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25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25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25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25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25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25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25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25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25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25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25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25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25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25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25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25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25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25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25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25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25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25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25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25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25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25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25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25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25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25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25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25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25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25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25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25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25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25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25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25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25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25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25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25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25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25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25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25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25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25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25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25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25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25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25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25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25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25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25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25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25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25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25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25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25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25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25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25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25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25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25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25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25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25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25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25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25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25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25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25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25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25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25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25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25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25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25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25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25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25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25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25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25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25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25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25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25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25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25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25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25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25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25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25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25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25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25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25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25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25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25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25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25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25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25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25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25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25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25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25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25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25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25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25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25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25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25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25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25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25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25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25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25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25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25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25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25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25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25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25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25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25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25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25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25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25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25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25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25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25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25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25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25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25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25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25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25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25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25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25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25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25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25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25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25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25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25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25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25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25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25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25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25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25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25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25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25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25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25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25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25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25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25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25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25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25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25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25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25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25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25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25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25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25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25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25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25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25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25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25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25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25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25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25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25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25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25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25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25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25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25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25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25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25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25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25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25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25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25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25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25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25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25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25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25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25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25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25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25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25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25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25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25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25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25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25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25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25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25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25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25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25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25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25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25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25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25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25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25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25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25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25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25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25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25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25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25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25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25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25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25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25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25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25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25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25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25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25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25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25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25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25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25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25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25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25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25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25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25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25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25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25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25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25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25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25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25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25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25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25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25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25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25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25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25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25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25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25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25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25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25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25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25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25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25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25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25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25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25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25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25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25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25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25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25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25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25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25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25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25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25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25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25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25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25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25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25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25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25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25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25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25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25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25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25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25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25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25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25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25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25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25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25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25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25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25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25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25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25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25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25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25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25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25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25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25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25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25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25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25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25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25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25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25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25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25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25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25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25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25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25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25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25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25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25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25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25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25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25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25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25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25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25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25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25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25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25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25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25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25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25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25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25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25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25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25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25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25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25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25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25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25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25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25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25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25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25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25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25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25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25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25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25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25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25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25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25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25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25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25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25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25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25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25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25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25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25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25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25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25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25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25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25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25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25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25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25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25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25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25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25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25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25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25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25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25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25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25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25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25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25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25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25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25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25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25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25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25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25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25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25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25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25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25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25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25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25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25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25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25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25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25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25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25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25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25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25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25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25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25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25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25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25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25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25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25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25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25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25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25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25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25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25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25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25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25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25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25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25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25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25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25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25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25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25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25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25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25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25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25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25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25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25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25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25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25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25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25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25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25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25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25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25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25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25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25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25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25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25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25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25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25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25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25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25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25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25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25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25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25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25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</sheetData>
  <mergeCells count="3">
    <mergeCell ref="A2:A5"/>
    <mergeCell ref="A6:A9"/>
    <mergeCell ref="A10:A1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2025-12-18T23:27:14Z</dcterms:created>
  <dc:creator>openpyxl</dc:creator>
</cp:coreProperties>
</file>