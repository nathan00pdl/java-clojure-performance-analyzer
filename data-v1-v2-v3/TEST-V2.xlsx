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Raw Data" sheetId="1" r:id="rId4"/>
    <sheet state="visible" name="2. General Statistical Analysis" sheetId="2" r:id="rId5"/>
    <sheet state="visible" name="3. Z-Score" sheetId="3" r:id="rId6"/>
    <sheet state="visible" name="4. Statistical Analysis Without" sheetId="4" r:id="rId7"/>
    <sheet state="visible" name="5. Performance Analysis" sheetId="5" r:id="rId8"/>
  </sheets>
  <definedNames>
    <definedName hidden="1" localSheetId="0" name="_xlnm._FilterDatabase">'1. Raw Data'!$A$1:$AF$55</definedName>
    <definedName hidden="1" localSheetId="1" name="_xlnm._FilterDatabase">'2. General Statistical Analysis'!$A$1:$N$13</definedName>
    <definedName hidden="1" localSheetId="2" name="_xlnm._FilterDatabase">'3. Z-Score'!$A$1:$G$51</definedName>
    <definedName hidden="1" localSheetId="3" name="_xlnm._FilterDatabase">'4. Statistical Analysis Without'!$A$1:$N$13</definedName>
    <definedName hidden="1" localSheetId="4" name="_xlnm._FilterDatabase">'5. Performance Analysis'!$A$1:$H$13</definedName>
  </definedNames>
  <calcPr/>
  <extLst>
    <ext uri="GoogleSheetsCustomDataVersion2">
      <go:sheetsCustomData xmlns:go="http://customooxmlschemas.google.com/" r:id="rId9" roundtripDataChecksum="UegRKh+1OhcCjSm4pW1m5FgwcXqAK4xNZ8StZnaTlHk="/>
    </ext>
  </extLst>
</workbook>
</file>

<file path=xl/sharedStrings.xml><?xml version="1.0" encoding="utf-8"?>
<sst xmlns="http://schemas.openxmlformats.org/spreadsheetml/2006/main" count="387" uniqueCount="129">
  <si>
    <t>IMPL</t>
  </si>
  <si>
    <t>Load</t>
  </si>
  <si>
    <t>Metric</t>
  </si>
  <si>
    <t>Java AVG</t>
  </si>
  <si>
    <t>P95 (ms)</t>
  </si>
  <si>
    <t>Idiomatic AVG</t>
  </si>
  <si>
    <t>Interop AVG</t>
  </si>
  <si>
    <t>Average</t>
  </si>
  <si>
    <t>Best AVG</t>
  </si>
  <si>
    <t>Standard Deviation</t>
  </si>
  <si>
    <t>Z-Score</t>
  </si>
  <si>
    <t>Outlier</t>
  </si>
  <si>
    <t>Time of tests (min)</t>
  </si>
  <si>
    <t>Java STD DEV</t>
  </si>
  <si>
    <t>Java</t>
  </si>
  <si>
    <t>Total Requests</t>
  </si>
  <si>
    <t>Idiomatic STD DEV</t>
  </si>
  <si>
    <t>Success Requests</t>
  </si>
  <si>
    <t>Interop STD DEV</t>
  </si>
  <si>
    <t>Failed Requests</t>
  </si>
  <si>
    <t>Best STD DEV</t>
  </si>
  <si>
    <t xml:space="preserve">Error Rate (%) </t>
  </si>
  <si>
    <t>Java CV%</t>
  </si>
  <si>
    <t>Req/Sec</t>
  </si>
  <si>
    <t>Idiomatic CV%</t>
  </si>
  <si>
    <t>Min (ms)</t>
  </si>
  <si>
    <t>Mean (ms)</t>
  </si>
  <si>
    <t>Interop CV%</t>
  </si>
  <si>
    <t>Max (ms)</t>
  </si>
  <si>
    <t>Best CV%</t>
  </si>
  <si>
    <t>Stdard Deviation (ms)</t>
  </si>
  <si>
    <t>P50 (ms)</t>
  </si>
  <si>
    <t>P75 (ms)</t>
  </si>
  <si>
    <t>P99 (ms)</t>
  </si>
  <si>
    <t>100</t>
  </si>
  <si>
    <t>GC Time (ms)</t>
  </si>
  <si>
    <t>GC Collections</t>
  </si>
  <si>
    <t>Heap Peak (GB)</t>
  </si>
  <si>
    <t>Heap Peak (%)</t>
  </si>
  <si>
    <t>CPU Peak (%)</t>
  </si>
  <si>
    <t>&lt; 800ms</t>
  </si>
  <si>
    <t>800-1200ms</t>
  </si>
  <si>
    <t>&gt; 1200ms</t>
  </si>
  <si>
    <t>&lt; 800ms (%)</t>
  </si>
  <si>
    <t>800-1200ms (%)</t>
  </si>
  <si>
    <t>&gt; 1200ms (%)</t>
  </si>
  <si>
    <t xml:space="preserve">Total Requests Prometheus </t>
  </si>
  <si>
    <t>Delta Gatling Prometheus</t>
  </si>
  <si>
    <t>Sync Status</t>
  </si>
  <si>
    <t>Error Status</t>
  </si>
  <si>
    <t>Timestamp</t>
  </si>
  <si>
    <t>DRAW</t>
  </si>
  <si>
    <t>Idiomatic</t>
  </si>
  <si>
    <t>GOOD</t>
  </si>
  <si>
    <t>EXCELLENT</t>
  </si>
  <si>
    <t>Interop</t>
  </si>
  <si>
    <t>idiomatic</t>
  </si>
  <si>
    <t>Clojure-Idiomatic</t>
  </si>
  <si>
    <t>2026-05-09 08:40:37</t>
  </si>
  <si>
    <t>undefined</t>
  </si>
  <si>
    <t>2026-05-09 08:54:34</t>
  </si>
  <si>
    <t>2026-05-09 09:08:08</t>
  </si>
  <si>
    <t>500</t>
  </si>
  <si>
    <t>2026-05-09 09:22:44</t>
  </si>
  <si>
    <t>java</t>
  </si>
  <si>
    <t>2026-05-09 09:35:25</t>
  </si>
  <si>
    <t>2026-05-09 09:48:24</t>
  </si>
  <si>
    <t>2026-05-13 18:08:11</t>
  </si>
  <si>
    <t>Clojure-Interop</t>
  </si>
  <si>
    <t>2026-05-13 18:21:32</t>
  </si>
  <si>
    <t>2026-05-13 18:34:24</t>
  </si>
  <si>
    <t>2026-05-13 18:48:01</t>
  </si>
  <si>
    <t>2026-05-13 19:01:47</t>
  </si>
  <si>
    <t>1000</t>
  </si>
  <si>
    <t>WARNING</t>
  </si>
  <si>
    <t>HIGH</t>
  </si>
  <si>
    <t>2026-05-13 19:15:52</t>
  </si>
  <si>
    <t>interop</t>
  </si>
  <si>
    <t>2026-05-08 13:22:52</t>
  </si>
  <si>
    <t>2026-05-08 13:36:32</t>
  </si>
  <si>
    <t>2026-05-08 13:50:48</t>
  </si>
  <si>
    <t>2026-05-08 14:04:05</t>
  </si>
  <si>
    <t>2026-05-08 14:16:56</t>
  </si>
  <si>
    <t>2026-05-08 14:30:12</t>
  </si>
  <si>
    <t>2026-05-09 12:50:16</t>
  </si>
  <si>
    <t>2026-05-09 13:03:18</t>
  </si>
  <si>
    <t>2026-05-09 13:16:42</t>
  </si>
  <si>
    <t>Java AVG (tab 3)</t>
  </si>
  <si>
    <t>Idiomatic AVG (tab 3)</t>
  </si>
  <si>
    <t>Interop AVG (tab 3)</t>
  </si>
  <si>
    <t>Best</t>
  </si>
  <si>
    <t>Δ</t>
  </si>
  <si>
    <t>Dimension</t>
  </si>
  <si>
    <t>2026-05-09 13:29:10</t>
  </si>
  <si>
    <t>2026-05-09 13:42:10</t>
  </si>
  <si>
    <t>2026-05-09 13:55:21</t>
  </si>
  <si>
    <t>P95 Latency</t>
  </si>
  <si>
    <t>2026-05-13 20:31:49</t>
  </si>
  <si>
    <t>P99 Latency</t>
  </si>
  <si>
    <t>2026-05-13 20:45:04</t>
  </si>
  <si>
    <t>GC Overhead</t>
  </si>
  <si>
    <t>2026-05-13 20:58:10</t>
  </si>
  <si>
    <t>2026-05-13 21:11:25</t>
  </si>
  <si>
    <t>2026-05-13 21:25:12</t>
  </si>
  <si>
    <t>2026-05-13 21:39:24</t>
  </si>
  <si>
    <t>2026-05-08 16:02:58</t>
  </si>
  <si>
    <t>2026-05-08 16:19:37</t>
  </si>
  <si>
    <t>2026-05-08 16:32:49</t>
  </si>
  <si>
    <t>2026-05-08 16:46:00</t>
  </si>
  <si>
    <t>2026-05-08 16:59:18</t>
  </si>
  <si>
    <t>2026-05-08 17:10:56</t>
  </si>
  <si>
    <t>2026-05-09 15:06:07</t>
  </si>
  <si>
    <t>2026-05-09 15:19:38</t>
  </si>
  <si>
    <t>2026-05-09 15:32:57</t>
  </si>
  <si>
    <t>2026-05-09 15:45:52</t>
  </si>
  <si>
    <t>2026-05-09 15:58:36</t>
  </si>
  <si>
    <t>2026-05-09 16:11:08</t>
  </si>
  <si>
    <t>2026-05-14 06:05:29</t>
  </si>
  <si>
    <t>2026-05-14 06:18:33</t>
  </si>
  <si>
    <t>2026-05-14 06:31:03</t>
  </si>
  <si>
    <t>2026-05-14 06:43:30</t>
  </si>
  <si>
    <t>2026-05-14 06:57:27</t>
  </si>
  <si>
    <t>2026-05-14 07:10:28</t>
  </si>
  <si>
    <t>REQUEST BODY</t>
  </si>
  <si>
    <t>{</t>
  </si>
  <si>
    <t>"initialAmount": 10000.0,</t>
  </si>
  <si>
    <t>"annualInterestRate": 10.0,</t>
  </si>
  <si>
    <t>"years": 100</t>
  </si>
  <si>
    <t>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</si>
</sst>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0.000"/>
  </numFmts>
  <fonts count="15">
    <font>
      <sz val="11.0"/>
      <color theme="1"/>
      <name val="Calibri"/>
      <scheme val="minor"/>
    </font>
    <font>
      <b/>
      <sz val="13.0"/>
      <color rgb="FFFFFFFF"/>
      <name val="Times New Roman"/>
    </font>
    <font>
      <b/>
      <sz val="12.0"/>
      <color rgb="FFFFFFFF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3.0"/>
      <color rgb="FF000000"/>
      <name val="Times New Roman"/>
    </font>
    <font>
      <sz val="11.0"/>
      <color rgb="FF000000"/>
      <name val="Calibri"/>
    </font>
    <font>
      <b/>
      <sz val="12.0"/>
      <color rgb="FFFF0000"/>
      <name val="Times New Roman"/>
    </font>
    <font>
      <color theme="1"/>
      <name val="Times New Roman"/>
    </font>
    <font/>
    <font>
      <sz val="12.0"/>
      <color rgb="FF000000"/>
      <name val="Times New Roman"/>
    </font>
    <font>
      <sz val="11.0"/>
      <color theme="1"/>
      <name val="Calibri"/>
    </font>
    <font>
      <b/>
      <sz val="12.0"/>
      <color rgb="FF0000FF"/>
      <name val="Times New Roman"/>
    </font>
    <font>
      <sz val="11.0"/>
      <color theme="1"/>
      <name val="Times New Roman"/>
    </font>
    <font>
      <b/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2" fillId="4" fontId="4" numFmtId="3" xfId="0" applyAlignment="1" applyBorder="1" applyFont="1" applyNumberFormat="1">
      <alignment horizontal="center" shrinkToFit="0" vertical="center" wrapText="1"/>
    </xf>
    <xf borderId="1" fillId="4" fontId="4" numFmtId="3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3" fontId="5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center" vertical="center"/>
    </xf>
    <xf borderId="0" fillId="0" fontId="6" numFmtId="0" xfId="0" applyFont="1"/>
    <xf borderId="1" fillId="4" fontId="4" numFmtId="0" xfId="0" applyAlignment="1" applyBorder="1" applyFont="1">
      <alignment horizontal="center" vertical="center"/>
    </xf>
    <xf borderId="2" fillId="0" fontId="4" numFmtId="4" xfId="0" applyAlignment="1" applyBorder="1" applyFont="1" applyNumberFormat="1">
      <alignment horizontal="center" vertical="center"/>
    </xf>
    <xf borderId="2" fillId="4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7" numFmtId="4" xfId="0" applyAlignment="1" applyBorder="1" applyFont="1" applyNumberFormat="1">
      <alignment horizontal="center" shrinkToFit="0" vertical="center" wrapText="1"/>
    </xf>
    <xf borderId="1" fillId="0" fontId="4" numFmtId="4" xfId="0" applyAlignment="1" applyBorder="1" applyFont="1" applyNumberFormat="1">
      <alignment horizontal="center" vertical="center"/>
    </xf>
    <xf borderId="1" fillId="4" fontId="4" numFmtId="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4" fontId="4" numFmtId="4" xfId="0" applyAlignment="1" applyBorder="1" applyFont="1" applyNumberFormat="1">
      <alignment horizontal="center" vertical="center"/>
    </xf>
    <xf borderId="3" fillId="0" fontId="9" numFmtId="0" xfId="0" applyBorder="1" applyFont="1"/>
    <xf borderId="1" fillId="3" fontId="4" numFmtId="4" xfId="0" applyAlignment="1" applyBorder="1" applyFont="1" applyNumberFormat="1">
      <alignment horizontal="center" vertical="center"/>
    </xf>
    <xf borderId="1" fillId="3" fontId="4" numFmtId="4" xfId="0" applyAlignment="1" applyBorder="1" applyFont="1" applyNumberFormat="1">
      <alignment horizontal="center" readingOrder="0" shrinkToFit="0" vertical="center" wrapText="1"/>
    </xf>
    <xf borderId="1" fillId="4" fontId="4" numFmtId="164" xfId="0" applyAlignment="1" applyBorder="1" applyFont="1" applyNumberFormat="1">
      <alignment horizontal="center" vertical="center"/>
    </xf>
    <xf borderId="1" fillId="4" fontId="7" numFmtId="4" xfId="0" applyAlignment="1" applyBorder="1" applyFont="1" applyNumberFormat="1">
      <alignment horizontal="center" vertical="center"/>
    </xf>
    <xf borderId="1" fillId="4" fontId="10" numFmtId="4" xfId="0" applyAlignment="1" applyBorder="1" applyFont="1" applyNumberFormat="1">
      <alignment horizontal="center" vertical="center"/>
    </xf>
    <xf borderId="4" fillId="0" fontId="9" numFmtId="0" xfId="0" applyBorder="1" applyFont="1"/>
    <xf borderId="1" fillId="3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vertical="center"/>
    </xf>
    <xf borderId="0" fillId="0" fontId="11" numFmtId="0" xfId="0" applyFont="1"/>
    <xf borderId="1" fillId="4" fontId="4" numFmtId="3" xfId="0" applyAlignment="1" applyBorder="1" applyFont="1" applyNumberFormat="1">
      <alignment horizontal="center" vertical="center"/>
    </xf>
    <xf borderId="1" fillId="3" fontId="4" numFmtId="4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5" fontId="8" numFmtId="0" xfId="0" applyAlignment="1" applyBorder="1" applyFill="1" applyFont="1">
      <alignment horizontal="center" vertical="center"/>
    </xf>
    <xf borderId="2" fillId="4" fontId="4" numFmtId="3" xfId="0" applyAlignment="1" applyBorder="1" applyFont="1" applyNumberFormat="1">
      <alignment horizontal="center" vertical="center"/>
    </xf>
    <xf borderId="2" fillId="6" fontId="3" numFmtId="0" xfId="0" applyAlignment="1" applyBorder="1" applyFill="1" applyFont="1">
      <alignment horizontal="center" readingOrder="0" shrinkToFit="0" vertical="center" wrapText="1"/>
    </xf>
    <xf borderId="2" fillId="6" fontId="4" numFmtId="3" xfId="0" applyAlignment="1" applyBorder="1" applyFont="1" applyNumberFormat="1">
      <alignment horizontal="center" shrinkToFit="0" vertical="center" wrapText="1"/>
    </xf>
    <xf borderId="1" fillId="6" fontId="4" numFmtId="3" xfId="0" applyAlignment="1" applyBorder="1" applyFont="1" applyNumberFormat="1">
      <alignment horizontal="center" shrinkToFit="0" vertical="center" wrapText="1"/>
    </xf>
    <xf borderId="2" fillId="6" fontId="4" numFmtId="4" xfId="0" applyAlignment="1" applyBorder="1" applyFont="1" applyNumberFormat="1">
      <alignment horizontal="center" vertical="center"/>
    </xf>
    <xf borderId="1" fillId="6" fontId="4" numFmtId="4" xfId="0" applyAlignment="1" applyBorder="1" applyFont="1" applyNumberFormat="1">
      <alignment horizontal="center" readingOrder="0" vertical="center"/>
    </xf>
    <xf borderId="2" fillId="6" fontId="4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shrinkToFit="0" vertical="center" wrapText="1"/>
    </xf>
    <xf borderId="1" fillId="6" fontId="4" numFmtId="4" xfId="0" applyAlignment="1" applyBorder="1" applyFont="1" applyNumberFormat="1">
      <alignment horizontal="center" shrinkToFit="0" vertical="center" wrapText="1"/>
    </xf>
    <xf borderId="1" fillId="6" fontId="7" numFmtId="4" xfId="0" applyAlignment="1" applyBorder="1" applyFont="1" applyNumberFormat="1">
      <alignment horizontal="center" shrinkToFit="0" vertical="center" wrapText="1"/>
    </xf>
    <xf borderId="1" fillId="6" fontId="4" numFmtId="3" xfId="0" applyAlignment="1" applyBorder="1" applyFont="1" applyNumberFormat="1">
      <alignment horizontal="center" vertical="center"/>
    </xf>
    <xf borderId="2" fillId="6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6" fontId="10" numFmtId="4" xfId="0" applyAlignment="1" applyBorder="1" applyFont="1" applyNumberFormat="1">
      <alignment horizontal="center" vertical="center"/>
    </xf>
    <xf borderId="1" fillId="6" fontId="4" numFmtId="4" xfId="0" applyAlignment="1" applyBorder="1" applyFont="1" applyNumberFormat="1">
      <alignment horizontal="center" vertical="center"/>
    </xf>
    <xf borderId="1" fillId="6" fontId="7" numFmtId="4" xfId="0" applyAlignment="1" applyBorder="1" applyFont="1" applyNumberFormat="1">
      <alignment horizontal="center" vertical="center"/>
    </xf>
    <xf borderId="1" fillId="5" fontId="4" numFmtId="3" xfId="0" applyAlignment="1" applyBorder="1" applyFont="1" applyNumberFormat="1">
      <alignment horizontal="center" vertical="center"/>
    </xf>
    <xf borderId="1" fillId="5" fontId="4" numFmtId="4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7" fontId="3" numFmtId="3" xfId="0" applyAlignment="1" applyBorder="1" applyFill="1" applyFont="1" applyNumberFormat="1">
      <alignment horizontal="center" vertical="center"/>
    </xf>
    <xf borderId="1" fillId="7" fontId="3" numFmtId="4" xfId="0" applyAlignment="1" applyBorder="1" applyFont="1" applyNumberFormat="1">
      <alignment horizontal="center" vertical="center"/>
    </xf>
    <xf borderId="1" fillId="7" fontId="3" numFmtId="0" xfId="0" applyAlignment="1" applyBorder="1" applyFont="1">
      <alignment horizontal="center" vertical="center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" fillId="6" fontId="4" numFmtId="3" xfId="0" applyAlignment="1" applyBorder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4" fontId="12" numFmtId="4" xfId="0" applyAlignment="1" applyBorder="1" applyFont="1" applyNumberFormat="1">
      <alignment horizontal="center" vertical="center"/>
    </xf>
    <xf borderId="4" fillId="3" fontId="4" numFmtId="4" xfId="0" applyAlignment="1" applyBorder="1" applyFont="1" applyNumberFormat="1">
      <alignment horizontal="center" vertical="center"/>
    </xf>
    <xf borderId="1" fillId="6" fontId="12" numFmtId="4" xfId="0" applyAlignment="1" applyBorder="1" applyFont="1" applyNumberFormat="1">
      <alignment horizontal="center" vertical="center"/>
    </xf>
    <xf borderId="2" fillId="4" fontId="3" numFmtId="3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1" fillId="3" fontId="14" numFmtId="0" xfId="0" applyAlignment="1" applyBorder="1" applyFont="1">
      <alignment horizontal="center" vertical="bottom"/>
    </xf>
    <xf borderId="1" fillId="3" fontId="13" numFmtId="0" xfId="0" applyAlignment="1" applyBorder="1" applyFont="1">
      <alignment vertical="bottom"/>
    </xf>
    <xf borderId="0" fillId="0" fontId="1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3.86"/>
    <col customWidth="1" min="2" max="2" width="9.57"/>
    <col customWidth="1" min="3" max="3" width="23.86"/>
    <col customWidth="1" min="4" max="4" width="19.57"/>
    <col customWidth="1" min="5" max="5" width="22.14"/>
    <col customWidth="1" min="6" max="6" width="20.71"/>
    <col customWidth="1" min="7" max="7" width="20.43"/>
    <col customWidth="1" min="8" max="8" width="12.57"/>
    <col customWidth="1" min="9" max="9" width="13.71"/>
    <col customWidth="1" min="10" max="10" width="15.29"/>
    <col customWidth="1" min="11" max="11" width="14.14"/>
    <col customWidth="1" min="12" max="12" width="27.43"/>
    <col customWidth="1" min="13" max="16" width="13.29"/>
    <col customWidth="1" min="17" max="17" width="19.14"/>
    <col customWidth="1" min="18" max="18" width="20.0"/>
    <col customWidth="1" min="19" max="19" width="21.29"/>
    <col customWidth="1" min="20" max="20" width="20.29"/>
    <col customWidth="1" min="21" max="21" width="19.71"/>
    <col customWidth="1" hidden="1" min="22" max="22" width="12.71"/>
    <col customWidth="1" hidden="1" min="23" max="23" width="16.57"/>
    <col customWidth="1" hidden="1" min="24" max="24" width="14.0"/>
    <col customWidth="1" hidden="1" min="25" max="25" width="17.57"/>
    <col customWidth="1" hidden="1" min="26" max="26" width="21.29"/>
    <col customWidth="1" hidden="1" min="27" max="27" width="18.71"/>
    <col customWidth="1" min="28" max="28" width="19.57"/>
    <col customWidth="1" min="29" max="29" width="18.29"/>
    <col customWidth="1" min="30" max="30" width="16.29"/>
    <col customWidth="1" min="31" max="31" width="17.43"/>
    <col customWidth="1" min="32" max="32" width="20.71"/>
  </cols>
  <sheetData>
    <row r="1" ht="38.25" customHeight="1">
      <c r="A1" s="1" t="s">
        <v>0</v>
      </c>
      <c r="B1" s="3" t="s">
        <v>1</v>
      </c>
      <c r="C1" s="3" t="s">
        <v>12</v>
      </c>
      <c r="D1" s="1" t="s">
        <v>15</v>
      </c>
      <c r="E1" s="1" t="s">
        <v>17</v>
      </c>
      <c r="F1" s="1" t="s">
        <v>19</v>
      </c>
      <c r="G1" s="1" t="s">
        <v>21</v>
      </c>
      <c r="H1" s="1" t="s">
        <v>23</v>
      </c>
      <c r="I1" s="1" t="s">
        <v>25</v>
      </c>
      <c r="J1" s="1" t="s">
        <v>26</v>
      </c>
      <c r="K1" s="1" t="s">
        <v>28</v>
      </c>
      <c r="L1" s="1" t="s">
        <v>30</v>
      </c>
      <c r="M1" s="1" t="s">
        <v>31</v>
      </c>
      <c r="N1" s="1" t="s">
        <v>32</v>
      </c>
      <c r="O1" s="1" t="s">
        <v>4</v>
      </c>
      <c r="P1" s="1" t="s">
        <v>33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</row>
    <row r="2" ht="17.25" customHeight="1">
      <c r="A2" s="5" t="s">
        <v>14</v>
      </c>
      <c r="B2" s="7">
        <v>100.0</v>
      </c>
      <c r="C2" s="7">
        <v>5.0</v>
      </c>
      <c r="D2" s="7">
        <v>30000.0</v>
      </c>
      <c r="E2" s="7">
        <v>30000.0</v>
      </c>
      <c r="F2" s="7">
        <v>0.0</v>
      </c>
      <c r="G2" s="7">
        <v>0.0</v>
      </c>
      <c r="H2" s="7">
        <v>100.0</v>
      </c>
      <c r="I2" s="7">
        <v>0.0</v>
      </c>
      <c r="J2" s="8">
        <v>2.0</v>
      </c>
      <c r="K2" s="8">
        <v>90.0</v>
      </c>
      <c r="L2" s="8">
        <v>1.0</v>
      </c>
      <c r="M2" s="8">
        <v>2.0</v>
      </c>
      <c r="N2" s="7">
        <v>2.0</v>
      </c>
      <c r="O2" s="8">
        <v>3.0</v>
      </c>
      <c r="P2" s="8">
        <v>4.0</v>
      </c>
      <c r="Q2" s="8">
        <v>32.0</v>
      </c>
      <c r="R2" s="8">
        <v>2.0</v>
      </c>
      <c r="S2" s="19">
        <v>1.03</v>
      </c>
      <c r="T2" s="19">
        <v>17.0</v>
      </c>
      <c r="U2" s="19">
        <v>44.56</v>
      </c>
      <c r="V2" s="8">
        <v>30000.0</v>
      </c>
      <c r="W2" s="8">
        <v>0.0</v>
      </c>
      <c r="X2" s="8">
        <v>0.0</v>
      </c>
      <c r="Y2" s="8">
        <v>100.0</v>
      </c>
      <c r="Z2" s="8">
        <v>0.0</v>
      </c>
      <c r="AA2" s="8">
        <v>0.0</v>
      </c>
      <c r="AB2" s="8">
        <v>30088.0</v>
      </c>
      <c r="AC2" s="8">
        <v>88.0</v>
      </c>
      <c r="AD2" s="16" t="s">
        <v>53</v>
      </c>
      <c r="AE2" s="16" t="s">
        <v>54</v>
      </c>
      <c r="AF2" s="25">
        <v>46150.24444444444</v>
      </c>
    </row>
    <row r="3" ht="17.25" customHeight="1">
      <c r="A3" s="22"/>
      <c r="B3" s="22"/>
      <c r="C3" s="22"/>
      <c r="D3" s="22"/>
      <c r="E3" s="22"/>
      <c r="F3" s="22"/>
      <c r="G3" s="22"/>
      <c r="H3" s="22"/>
      <c r="I3" s="22"/>
      <c r="J3" s="8">
        <v>2.0</v>
      </c>
      <c r="K3" s="8">
        <v>404.0</v>
      </c>
      <c r="L3" s="8">
        <v>8.0</v>
      </c>
      <c r="M3" s="8">
        <v>2.0</v>
      </c>
      <c r="N3" s="22"/>
      <c r="O3" s="8">
        <v>2.0</v>
      </c>
      <c r="P3" s="8">
        <v>4.0</v>
      </c>
      <c r="Q3" s="8">
        <v>35.0</v>
      </c>
      <c r="R3" s="8">
        <v>2.0</v>
      </c>
      <c r="S3" s="19">
        <v>1.0</v>
      </c>
      <c r="T3" s="19">
        <v>16.0</v>
      </c>
      <c r="U3" s="19">
        <v>45.14</v>
      </c>
      <c r="V3" s="8">
        <v>30000.0</v>
      </c>
      <c r="W3" s="8">
        <v>0.0</v>
      </c>
      <c r="X3" s="8">
        <v>0.0</v>
      </c>
      <c r="Y3" s="8">
        <v>100.0</v>
      </c>
      <c r="Z3" s="8">
        <v>0.0</v>
      </c>
      <c r="AA3" s="8">
        <v>0.0</v>
      </c>
      <c r="AB3" s="8">
        <v>30081.0</v>
      </c>
      <c r="AC3" s="8">
        <v>81.0</v>
      </c>
      <c r="AD3" s="16" t="s">
        <v>53</v>
      </c>
      <c r="AE3" s="16" t="s">
        <v>54</v>
      </c>
      <c r="AF3" s="25">
        <v>46150.25390046297</v>
      </c>
    </row>
    <row r="4" ht="17.25" customHeight="1">
      <c r="A4" s="22"/>
      <c r="B4" s="22"/>
      <c r="C4" s="22"/>
      <c r="D4" s="22"/>
      <c r="E4" s="22"/>
      <c r="F4" s="22"/>
      <c r="G4" s="22"/>
      <c r="H4" s="22"/>
      <c r="I4" s="22"/>
      <c r="J4" s="8">
        <v>2.0</v>
      </c>
      <c r="K4" s="8">
        <v>103.0</v>
      </c>
      <c r="L4" s="8">
        <v>2.0</v>
      </c>
      <c r="M4" s="8">
        <v>2.0</v>
      </c>
      <c r="N4" s="22"/>
      <c r="O4" s="8">
        <v>2.0</v>
      </c>
      <c r="P4" s="8">
        <v>4.0</v>
      </c>
      <c r="Q4" s="8">
        <v>38.0</v>
      </c>
      <c r="R4" s="8">
        <v>2.0</v>
      </c>
      <c r="S4" s="19">
        <v>0.99</v>
      </c>
      <c r="T4" s="19">
        <v>16.0</v>
      </c>
      <c r="U4" s="19">
        <v>47.51</v>
      </c>
      <c r="V4" s="8">
        <v>30000.0</v>
      </c>
      <c r="W4" s="8">
        <v>0.0</v>
      </c>
      <c r="X4" s="8">
        <v>0.0</v>
      </c>
      <c r="Y4" s="8">
        <v>100.0</v>
      </c>
      <c r="Z4" s="8">
        <v>0.0</v>
      </c>
      <c r="AA4" s="8">
        <v>0.0</v>
      </c>
      <c r="AB4" s="8">
        <v>30077.0</v>
      </c>
      <c r="AC4" s="8">
        <v>77.0</v>
      </c>
      <c r="AD4" s="16" t="s">
        <v>53</v>
      </c>
      <c r="AE4" s="16" t="s">
        <v>54</v>
      </c>
      <c r="AF4" s="25">
        <v>46150.26263888889</v>
      </c>
    </row>
    <row r="5" ht="17.25" customHeight="1">
      <c r="A5" s="22"/>
      <c r="B5" s="22"/>
      <c r="C5" s="22"/>
      <c r="D5" s="22"/>
      <c r="E5" s="22"/>
      <c r="F5" s="22"/>
      <c r="G5" s="22"/>
      <c r="H5" s="22"/>
      <c r="I5" s="22"/>
      <c r="J5" s="8">
        <v>2.0</v>
      </c>
      <c r="K5" s="8">
        <v>223.0</v>
      </c>
      <c r="L5" s="8">
        <v>3.0</v>
      </c>
      <c r="M5" s="8">
        <v>2.0</v>
      </c>
      <c r="N5" s="22"/>
      <c r="O5" s="8">
        <v>3.0</v>
      </c>
      <c r="P5" s="8">
        <v>4.0</v>
      </c>
      <c r="Q5" s="8">
        <v>14.0</v>
      </c>
      <c r="R5" s="8">
        <v>1.0</v>
      </c>
      <c r="S5" s="19">
        <v>0.89</v>
      </c>
      <c r="T5" s="19">
        <v>14.0</v>
      </c>
      <c r="U5" s="19">
        <v>57.77</v>
      </c>
      <c r="V5" s="8">
        <v>30000.0</v>
      </c>
      <c r="W5" s="8">
        <v>0.0</v>
      </c>
      <c r="X5" s="8">
        <v>0.0</v>
      </c>
      <c r="Y5" s="8">
        <v>100.0</v>
      </c>
      <c r="Z5" s="8">
        <v>0.0</v>
      </c>
      <c r="AA5" s="8">
        <v>0.0</v>
      </c>
      <c r="AB5" s="8">
        <v>30080.0</v>
      </c>
      <c r="AC5" s="8">
        <v>80.0</v>
      </c>
      <c r="AD5" s="16" t="s">
        <v>53</v>
      </c>
      <c r="AE5" s="16" t="s">
        <v>54</v>
      </c>
      <c r="AF5" s="25">
        <v>46150.27146990741</v>
      </c>
    </row>
    <row r="6" ht="17.25" customHeight="1">
      <c r="A6" s="22"/>
      <c r="B6" s="22"/>
      <c r="C6" s="22"/>
      <c r="D6" s="22"/>
      <c r="E6" s="22"/>
      <c r="F6" s="22"/>
      <c r="G6" s="22"/>
      <c r="H6" s="22"/>
      <c r="I6" s="22"/>
      <c r="J6" s="8">
        <v>1.0</v>
      </c>
      <c r="K6" s="8">
        <v>16.0</v>
      </c>
      <c r="L6" s="8">
        <v>1.0</v>
      </c>
      <c r="M6" s="8">
        <v>1.0</v>
      </c>
      <c r="N6" s="22"/>
      <c r="O6" s="8">
        <v>2.0</v>
      </c>
      <c r="P6" s="8">
        <v>3.0</v>
      </c>
      <c r="Q6" s="8">
        <v>14.0</v>
      </c>
      <c r="R6" s="8">
        <v>1.0</v>
      </c>
      <c r="S6" s="19">
        <v>1.37</v>
      </c>
      <c r="T6" s="19">
        <v>22.0</v>
      </c>
      <c r="U6" s="19">
        <v>2.57</v>
      </c>
      <c r="V6" s="8">
        <v>30000.0</v>
      </c>
      <c r="W6" s="8">
        <v>0.0</v>
      </c>
      <c r="X6" s="8">
        <v>0.0</v>
      </c>
      <c r="Y6" s="8">
        <v>100.0</v>
      </c>
      <c r="Z6" s="8">
        <v>0.0</v>
      </c>
      <c r="AA6" s="8">
        <v>0.0</v>
      </c>
      <c r="AB6" s="8">
        <v>30077.0</v>
      </c>
      <c r="AC6" s="8">
        <v>77.0</v>
      </c>
      <c r="AD6" s="16" t="s">
        <v>53</v>
      </c>
      <c r="AE6" s="16" t="s">
        <v>54</v>
      </c>
      <c r="AF6" s="25">
        <v>46150.27947916667</v>
      </c>
    </row>
    <row r="7" ht="17.25" customHeight="1">
      <c r="A7" s="22"/>
      <c r="B7" s="28"/>
      <c r="C7" s="28"/>
      <c r="D7" s="28"/>
      <c r="E7" s="28"/>
      <c r="F7" s="28"/>
      <c r="G7" s="28"/>
      <c r="H7" s="28"/>
      <c r="I7" s="28"/>
      <c r="J7" s="8">
        <v>2.0</v>
      </c>
      <c r="K7" s="8">
        <v>91.0</v>
      </c>
      <c r="L7" s="8">
        <v>1.0</v>
      </c>
      <c r="M7" s="8">
        <v>2.0</v>
      </c>
      <c r="N7" s="28"/>
      <c r="O7" s="8">
        <v>2.0</v>
      </c>
      <c r="P7" s="8">
        <v>4.0</v>
      </c>
      <c r="Q7" s="8">
        <v>32.0</v>
      </c>
      <c r="R7" s="8">
        <v>2.0</v>
      </c>
      <c r="S7" s="19">
        <v>1.0</v>
      </c>
      <c r="T7" s="19">
        <v>16.0</v>
      </c>
      <c r="U7" s="19">
        <v>34.98</v>
      </c>
      <c r="V7" s="8">
        <v>30000.0</v>
      </c>
      <c r="W7" s="8">
        <v>0.0</v>
      </c>
      <c r="X7" s="8">
        <v>0.0</v>
      </c>
      <c r="Y7" s="8">
        <v>100.0</v>
      </c>
      <c r="Z7" s="8">
        <v>0.0</v>
      </c>
      <c r="AA7" s="8">
        <v>0.0</v>
      </c>
      <c r="AB7" s="8">
        <v>30087.0</v>
      </c>
      <c r="AC7" s="8">
        <v>87.0</v>
      </c>
      <c r="AD7" s="16" t="s">
        <v>53</v>
      </c>
      <c r="AE7" s="16" t="s">
        <v>54</v>
      </c>
      <c r="AF7" s="25">
        <v>46150.28870370371</v>
      </c>
    </row>
    <row r="8" ht="17.25" customHeight="1">
      <c r="A8" s="22"/>
      <c r="B8" s="7">
        <v>500.0</v>
      </c>
      <c r="C8" s="36">
        <v>5.0</v>
      </c>
      <c r="D8" s="36">
        <v>150000.0</v>
      </c>
      <c r="E8" s="36">
        <v>150000.0</v>
      </c>
      <c r="F8" s="36">
        <v>0.0</v>
      </c>
      <c r="G8" s="36">
        <v>0.0</v>
      </c>
      <c r="H8" s="36">
        <v>500.0</v>
      </c>
      <c r="I8" s="36">
        <v>0.0</v>
      </c>
      <c r="J8" s="32">
        <v>61.0</v>
      </c>
      <c r="K8" s="32">
        <v>6623.0</v>
      </c>
      <c r="L8" s="32">
        <v>361.0</v>
      </c>
      <c r="M8" s="36">
        <v>1.0</v>
      </c>
      <c r="N8" s="36">
        <v>1.0</v>
      </c>
      <c r="O8" s="32">
        <v>17.0</v>
      </c>
      <c r="P8" s="32">
        <v>1991.0</v>
      </c>
      <c r="Q8" s="32">
        <v>329.0</v>
      </c>
      <c r="R8" s="32">
        <v>6.0</v>
      </c>
      <c r="S8" s="21">
        <v>2.38</v>
      </c>
      <c r="T8" s="21">
        <v>39.0</v>
      </c>
      <c r="U8" s="21">
        <v>66.15</v>
      </c>
      <c r="V8" s="32">
        <v>150000.0</v>
      </c>
      <c r="W8" s="32">
        <v>0.0</v>
      </c>
      <c r="X8" s="32">
        <v>0.0</v>
      </c>
      <c r="Y8" s="32">
        <v>100.0</v>
      </c>
      <c r="Z8" s="32">
        <v>0.0</v>
      </c>
      <c r="AA8" s="32">
        <v>0.0</v>
      </c>
      <c r="AB8" s="32">
        <v>150091.0</v>
      </c>
      <c r="AC8" s="32">
        <v>91.0</v>
      </c>
      <c r="AD8" s="13" t="s">
        <v>54</v>
      </c>
      <c r="AE8" s="13" t="s">
        <v>54</v>
      </c>
      <c r="AF8" s="13" t="s">
        <v>58</v>
      </c>
    </row>
    <row r="9" ht="17.25" customHeight="1">
      <c r="A9" s="22"/>
      <c r="B9" s="22"/>
      <c r="C9" s="22"/>
      <c r="D9" s="22"/>
      <c r="E9" s="22"/>
      <c r="F9" s="22"/>
      <c r="G9" s="22"/>
      <c r="H9" s="22"/>
      <c r="I9" s="22"/>
      <c r="J9" s="32">
        <v>89.0</v>
      </c>
      <c r="K9" s="32">
        <v>8120.0</v>
      </c>
      <c r="L9" s="32">
        <v>515.0</v>
      </c>
      <c r="M9" s="22"/>
      <c r="N9" s="22"/>
      <c r="O9" s="32">
        <v>110.0</v>
      </c>
      <c r="P9" s="32">
        <v>2812.0</v>
      </c>
      <c r="Q9" s="32">
        <v>74.0</v>
      </c>
      <c r="R9" s="32">
        <v>5.0</v>
      </c>
      <c r="S9" s="21">
        <v>2.35</v>
      </c>
      <c r="T9" s="21">
        <v>39.0</v>
      </c>
      <c r="U9" s="21">
        <v>67.96</v>
      </c>
      <c r="V9" s="32">
        <v>150000.0</v>
      </c>
      <c r="W9" s="32">
        <v>0.0</v>
      </c>
      <c r="X9" s="32">
        <v>0.0</v>
      </c>
      <c r="Y9" s="32">
        <v>100.0</v>
      </c>
      <c r="Z9" s="32">
        <v>0.0</v>
      </c>
      <c r="AA9" s="32">
        <v>0.0</v>
      </c>
      <c r="AB9" s="32">
        <v>150077.0</v>
      </c>
      <c r="AC9" s="32">
        <v>77.0</v>
      </c>
      <c r="AD9" s="13" t="s">
        <v>54</v>
      </c>
      <c r="AE9" s="13" t="s">
        <v>54</v>
      </c>
      <c r="AF9" s="13" t="s">
        <v>60</v>
      </c>
    </row>
    <row r="10" ht="17.25" customHeight="1">
      <c r="A10" s="22"/>
      <c r="B10" s="22"/>
      <c r="C10" s="22"/>
      <c r="D10" s="22"/>
      <c r="E10" s="22"/>
      <c r="F10" s="22"/>
      <c r="G10" s="22"/>
      <c r="H10" s="22"/>
      <c r="I10" s="22"/>
      <c r="J10" s="32">
        <v>84.0</v>
      </c>
      <c r="K10" s="32">
        <v>7271.0</v>
      </c>
      <c r="L10" s="32">
        <v>478.0</v>
      </c>
      <c r="M10" s="22"/>
      <c r="N10" s="22"/>
      <c r="O10" s="32">
        <v>28.0</v>
      </c>
      <c r="P10" s="32">
        <v>2920.0</v>
      </c>
      <c r="Q10" s="32">
        <v>83.0</v>
      </c>
      <c r="R10" s="32">
        <v>5.0</v>
      </c>
      <c r="S10" s="21">
        <v>2.34</v>
      </c>
      <c r="T10" s="21">
        <v>39.0</v>
      </c>
      <c r="U10" s="21">
        <v>67.17</v>
      </c>
      <c r="V10" s="32">
        <v>150000.0</v>
      </c>
      <c r="W10" s="32">
        <v>0.0</v>
      </c>
      <c r="X10" s="32">
        <v>0.0</v>
      </c>
      <c r="Y10" s="32">
        <v>100.0</v>
      </c>
      <c r="Z10" s="32">
        <v>0.0</v>
      </c>
      <c r="AA10" s="32">
        <v>0.0</v>
      </c>
      <c r="AB10" s="32">
        <v>150084.0</v>
      </c>
      <c r="AC10" s="32">
        <v>84.0</v>
      </c>
      <c r="AD10" s="13" t="s">
        <v>54</v>
      </c>
      <c r="AE10" s="13" t="s">
        <v>54</v>
      </c>
      <c r="AF10" s="13" t="s">
        <v>61</v>
      </c>
    </row>
    <row r="11" ht="17.25" customHeight="1">
      <c r="A11" s="22"/>
      <c r="B11" s="22"/>
      <c r="C11" s="22"/>
      <c r="D11" s="22"/>
      <c r="E11" s="22"/>
      <c r="F11" s="22"/>
      <c r="G11" s="22"/>
      <c r="H11" s="22"/>
      <c r="I11" s="22"/>
      <c r="J11" s="32">
        <v>70.0</v>
      </c>
      <c r="K11" s="32">
        <v>5876.0</v>
      </c>
      <c r="L11" s="32">
        <v>395.0</v>
      </c>
      <c r="M11" s="22"/>
      <c r="N11" s="22"/>
      <c r="O11" s="32">
        <v>24.0</v>
      </c>
      <c r="P11" s="32">
        <v>2181.0</v>
      </c>
      <c r="Q11" s="32">
        <v>131.0</v>
      </c>
      <c r="R11" s="32">
        <v>7.0</v>
      </c>
      <c r="S11" s="21">
        <v>2.36</v>
      </c>
      <c r="T11" s="21">
        <v>39.0</v>
      </c>
      <c r="U11" s="21">
        <v>65.04</v>
      </c>
      <c r="V11" s="32">
        <v>150000.0</v>
      </c>
      <c r="W11" s="32">
        <v>0.0</v>
      </c>
      <c r="X11" s="32">
        <v>0.0</v>
      </c>
      <c r="Y11" s="32">
        <v>100.0</v>
      </c>
      <c r="Z11" s="32">
        <v>0.0</v>
      </c>
      <c r="AA11" s="32">
        <v>0.0</v>
      </c>
      <c r="AB11" s="32">
        <v>150080.0</v>
      </c>
      <c r="AC11" s="32">
        <v>80.0</v>
      </c>
      <c r="AD11" s="13" t="s">
        <v>54</v>
      </c>
      <c r="AE11" s="13" t="s">
        <v>54</v>
      </c>
      <c r="AF11" s="13" t="s">
        <v>63</v>
      </c>
    </row>
    <row r="12" ht="17.25" customHeight="1">
      <c r="A12" s="22"/>
      <c r="B12" s="22"/>
      <c r="C12" s="22"/>
      <c r="D12" s="22"/>
      <c r="E12" s="22"/>
      <c r="F12" s="22"/>
      <c r="G12" s="22"/>
      <c r="H12" s="22"/>
      <c r="I12" s="22"/>
      <c r="J12" s="32">
        <v>28.0</v>
      </c>
      <c r="K12" s="32">
        <v>4995.0</v>
      </c>
      <c r="L12" s="32">
        <v>190.0</v>
      </c>
      <c r="M12" s="22"/>
      <c r="N12" s="22"/>
      <c r="O12" s="32">
        <v>2.0</v>
      </c>
      <c r="P12" s="32">
        <v>824.0</v>
      </c>
      <c r="Q12" s="32">
        <v>218.0</v>
      </c>
      <c r="R12" s="32">
        <v>5.0</v>
      </c>
      <c r="S12" s="21">
        <v>2.28</v>
      </c>
      <c r="T12" s="21">
        <v>38.0</v>
      </c>
      <c r="U12" s="21">
        <v>65.97</v>
      </c>
      <c r="V12" s="32">
        <v>150000.0</v>
      </c>
      <c r="W12" s="32">
        <v>0.0</v>
      </c>
      <c r="X12" s="32">
        <v>0.0</v>
      </c>
      <c r="Y12" s="32">
        <v>100.0</v>
      </c>
      <c r="Z12" s="32">
        <v>0.0</v>
      </c>
      <c r="AA12" s="32">
        <v>0.0</v>
      </c>
      <c r="AB12" s="32">
        <v>150078.0</v>
      </c>
      <c r="AC12" s="32">
        <v>78.0</v>
      </c>
      <c r="AD12" s="13" t="s">
        <v>54</v>
      </c>
      <c r="AE12" s="13" t="s">
        <v>54</v>
      </c>
      <c r="AF12" s="13" t="s">
        <v>65</v>
      </c>
    </row>
    <row r="13" ht="17.25" customHeight="1">
      <c r="A13" s="22"/>
      <c r="B13" s="28"/>
      <c r="C13" s="28"/>
      <c r="D13" s="28"/>
      <c r="E13" s="28"/>
      <c r="F13" s="28"/>
      <c r="G13" s="28"/>
      <c r="H13" s="28"/>
      <c r="I13" s="28"/>
      <c r="J13" s="53">
        <v>136.0</v>
      </c>
      <c r="K13" s="53">
        <v>9207.0</v>
      </c>
      <c r="L13" s="53">
        <v>689.0</v>
      </c>
      <c r="M13" s="28"/>
      <c r="N13" s="28"/>
      <c r="O13" s="53">
        <v>699.0</v>
      </c>
      <c r="P13" s="53">
        <v>3915.0</v>
      </c>
      <c r="Q13" s="53">
        <v>469.0</v>
      </c>
      <c r="R13" s="53">
        <v>6.0</v>
      </c>
      <c r="S13" s="54">
        <v>2.27</v>
      </c>
      <c r="T13" s="54">
        <v>37.0</v>
      </c>
      <c r="U13" s="54">
        <v>74.27</v>
      </c>
      <c r="V13" s="53">
        <v>150000.0</v>
      </c>
      <c r="W13" s="53">
        <v>0.0</v>
      </c>
      <c r="X13" s="53">
        <v>0.0</v>
      </c>
      <c r="Y13" s="53">
        <v>100.0</v>
      </c>
      <c r="Z13" s="53">
        <v>0.0</v>
      </c>
      <c r="AA13" s="53">
        <v>0.0</v>
      </c>
      <c r="AB13" s="53">
        <v>150082.0</v>
      </c>
      <c r="AC13" s="53">
        <v>82.0</v>
      </c>
      <c r="AD13" s="55" t="s">
        <v>54</v>
      </c>
      <c r="AE13" s="55" t="s">
        <v>54</v>
      </c>
      <c r="AF13" s="55" t="s">
        <v>66</v>
      </c>
    </row>
    <row r="14" ht="17.25" customHeight="1">
      <c r="A14" s="22"/>
      <c r="B14" s="7">
        <v>1000.0</v>
      </c>
      <c r="C14" s="36">
        <v>5.0</v>
      </c>
      <c r="D14" s="36">
        <v>300000.0</v>
      </c>
      <c r="E14" s="32">
        <v>299988.0</v>
      </c>
      <c r="F14" s="32">
        <v>12.0</v>
      </c>
      <c r="G14" s="32">
        <v>0.0</v>
      </c>
      <c r="H14" s="32">
        <v>1000.0</v>
      </c>
      <c r="I14" s="36">
        <v>0.0</v>
      </c>
      <c r="J14" s="32">
        <v>902.0</v>
      </c>
      <c r="K14" s="32">
        <v>20655.0</v>
      </c>
      <c r="L14" s="32">
        <v>2623.0</v>
      </c>
      <c r="M14" s="32">
        <v>1.0</v>
      </c>
      <c r="N14" s="32">
        <v>1.0</v>
      </c>
      <c r="O14" s="32">
        <v>6408.0</v>
      </c>
      <c r="P14" s="32">
        <v>13041.0</v>
      </c>
      <c r="Q14" s="32">
        <v>1340.0</v>
      </c>
      <c r="R14" s="32">
        <v>14.0</v>
      </c>
      <c r="S14" s="21">
        <v>2.33</v>
      </c>
      <c r="T14" s="21">
        <v>38.0</v>
      </c>
      <c r="U14" s="21">
        <v>77.8</v>
      </c>
      <c r="V14" s="32">
        <v>300000.0</v>
      </c>
      <c r="W14" s="32">
        <v>0.0</v>
      </c>
      <c r="X14" s="32">
        <v>0.0</v>
      </c>
      <c r="Y14" s="32">
        <v>100.0</v>
      </c>
      <c r="Z14" s="32">
        <v>0.0</v>
      </c>
      <c r="AA14" s="32">
        <v>0.0</v>
      </c>
      <c r="AB14" s="32">
        <v>300068.0</v>
      </c>
      <c r="AC14" s="32">
        <v>80.0</v>
      </c>
      <c r="AD14" s="13" t="s">
        <v>54</v>
      </c>
      <c r="AE14" s="13" t="s">
        <v>54</v>
      </c>
      <c r="AF14" s="13" t="s">
        <v>67</v>
      </c>
    </row>
    <row r="15" ht="17.25" customHeight="1">
      <c r="A15" s="22"/>
      <c r="B15" s="22"/>
      <c r="C15" s="22"/>
      <c r="D15" s="22"/>
      <c r="E15" s="32">
        <v>300000.0</v>
      </c>
      <c r="F15" s="32">
        <v>0.0</v>
      </c>
      <c r="G15" s="32">
        <v>0.0</v>
      </c>
      <c r="H15" s="32">
        <v>1000.0</v>
      </c>
      <c r="I15" s="22"/>
      <c r="J15" s="32">
        <v>563.0</v>
      </c>
      <c r="K15" s="32">
        <v>17454.0</v>
      </c>
      <c r="L15" s="32">
        <v>1899.0</v>
      </c>
      <c r="M15" s="32">
        <v>1.0</v>
      </c>
      <c r="N15" s="32">
        <v>1.0</v>
      </c>
      <c r="O15" s="32">
        <v>4672.0</v>
      </c>
      <c r="P15" s="32">
        <v>10176.0</v>
      </c>
      <c r="Q15" s="32">
        <v>622.0</v>
      </c>
      <c r="R15" s="32">
        <v>10.0</v>
      </c>
      <c r="S15" s="21">
        <v>2.39</v>
      </c>
      <c r="T15" s="21">
        <v>39.0</v>
      </c>
      <c r="U15" s="21">
        <v>78.58</v>
      </c>
      <c r="V15" s="32">
        <v>300000.0</v>
      </c>
      <c r="W15" s="32">
        <v>0.0</v>
      </c>
      <c r="X15" s="32">
        <v>0.0</v>
      </c>
      <c r="Y15" s="32">
        <v>100.0</v>
      </c>
      <c r="Z15" s="32">
        <v>0.0</v>
      </c>
      <c r="AA15" s="32">
        <v>0.0</v>
      </c>
      <c r="AB15" s="32">
        <v>300078.0</v>
      </c>
      <c r="AC15" s="32">
        <v>78.0</v>
      </c>
      <c r="AD15" s="13" t="s">
        <v>54</v>
      </c>
      <c r="AE15" s="13" t="s">
        <v>54</v>
      </c>
      <c r="AF15" s="13" t="s">
        <v>69</v>
      </c>
    </row>
    <row r="16" ht="17.25" customHeight="1">
      <c r="A16" s="22"/>
      <c r="B16" s="22"/>
      <c r="C16" s="22"/>
      <c r="D16" s="22"/>
      <c r="E16" s="32">
        <v>300000.0</v>
      </c>
      <c r="F16" s="32">
        <v>0.0</v>
      </c>
      <c r="G16" s="32">
        <v>0.0</v>
      </c>
      <c r="H16" s="32">
        <v>1000.0</v>
      </c>
      <c r="I16" s="22"/>
      <c r="J16" s="32">
        <v>932.0</v>
      </c>
      <c r="K16" s="32">
        <v>20307.0</v>
      </c>
      <c r="L16" s="32">
        <v>2559.0</v>
      </c>
      <c r="M16" s="32">
        <v>1.0</v>
      </c>
      <c r="N16" s="32">
        <v>1.0</v>
      </c>
      <c r="O16" s="32">
        <v>7891.0</v>
      </c>
      <c r="P16" s="32">
        <v>11604.0</v>
      </c>
      <c r="Q16" s="32">
        <v>1547.0</v>
      </c>
      <c r="R16" s="32">
        <v>16.0</v>
      </c>
      <c r="S16" s="21">
        <v>2.33</v>
      </c>
      <c r="T16" s="21">
        <v>38.0</v>
      </c>
      <c r="U16" s="21">
        <v>82.43</v>
      </c>
      <c r="V16" s="32">
        <v>300000.0</v>
      </c>
      <c r="W16" s="32">
        <v>0.0</v>
      </c>
      <c r="X16" s="32">
        <v>0.0</v>
      </c>
      <c r="Y16" s="32">
        <v>100.0</v>
      </c>
      <c r="Z16" s="32">
        <v>0.0</v>
      </c>
      <c r="AA16" s="32">
        <v>0.0</v>
      </c>
      <c r="AB16" s="32">
        <v>300080.0</v>
      </c>
      <c r="AC16" s="32">
        <v>80.0</v>
      </c>
      <c r="AD16" s="13" t="s">
        <v>54</v>
      </c>
      <c r="AE16" s="13" t="s">
        <v>54</v>
      </c>
      <c r="AF16" s="13" t="s">
        <v>70</v>
      </c>
    </row>
    <row r="17" ht="17.25" customHeight="1">
      <c r="A17" s="22"/>
      <c r="B17" s="22"/>
      <c r="C17" s="22"/>
      <c r="D17" s="22"/>
      <c r="E17" s="32">
        <v>300000.0</v>
      </c>
      <c r="F17" s="32">
        <v>0.0</v>
      </c>
      <c r="G17" s="32">
        <v>0.0</v>
      </c>
      <c r="H17" s="32">
        <v>1000.0</v>
      </c>
      <c r="I17" s="22"/>
      <c r="J17" s="32">
        <v>566.0</v>
      </c>
      <c r="K17" s="32">
        <v>17066.0</v>
      </c>
      <c r="L17" s="32">
        <v>1821.0</v>
      </c>
      <c r="M17" s="32">
        <v>1.0</v>
      </c>
      <c r="N17" s="32">
        <v>1.0</v>
      </c>
      <c r="O17" s="32">
        <v>4577.0</v>
      </c>
      <c r="P17" s="32">
        <v>9584.0</v>
      </c>
      <c r="Q17" s="32">
        <v>1398.0</v>
      </c>
      <c r="R17" s="32">
        <v>15.0</v>
      </c>
      <c r="S17" s="21">
        <v>2.33</v>
      </c>
      <c r="T17" s="21">
        <v>38.0</v>
      </c>
      <c r="U17" s="21">
        <v>78.4</v>
      </c>
      <c r="V17" s="32">
        <v>300000.0</v>
      </c>
      <c r="W17" s="32">
        <v>0.0</v>
      </c>
      <c r="X17" s="32">
        <v>0.0</v>
      </c>
      <c r="Y17" s="32">
        <v>100.0</v>
      </c>
      <c r="Z17" s="32">
        <v>0.0</v>
      </c>
      <c r="AA17" s="32">
        <v>0.0</v>
      </c>
      <c r="AB17" s="32">
        <v>300079.0</v>
      </c>
      <c r="AC17" s="32">
        <v>79.0</v>
      </c>
      <c r="AD17" s="13" t="s">
        <v>54</v>
      </c>
      <c r="AE17" s="13" t="s">
        <v>54</v>
      </c>
      <c r="AF17" s="13" t="s">
        <v>71</v>
      </c>
    </row>
    <row r="18" ht="17.25" customHeight="1">
      <c r="A18" s="22"/>
      <c r="B18" s="22"/>
      <c r="C18" s="22"/>
      <c r="D18" s="22"/>
      <c r="E18" s="32">
        <v>300000.0</v>
      </c>
      <c r="F18" s="32">
        <v>0.0</v>
      </c>
      <c r="G18" s="32">
        <v>0.0</v>
      </c>
      <c r="H18" s="32">
        <v>1000.0</v>
      </c>
      <c r="I18" s="22"/>
      <c r="J18" s="32">
        <v>606.0</v>
      </c>
      <c r="K18" s="32">
        <v>15992.0</v>
      </c>
      <c r="L18" s="32">
        <v>1919.0</v>
      </c>
      <c r="M18" s="32">
        <v>1.0</v>
      </c>
      <c r="N18" s="32">
        <v>1.0</v>
      </c>
      <c r="O18" s="32">
        <v>5767.0</v>
      </c>
      <c r="P18" s="32">
        <v>9148.0</v>
      </c>
      <c r="Q18" s="32">
        <v>1048.0</v>
      </c>
      <c r="R18" s="32">
        <v>13.0</v>
      </c>
      <c r="S18" s="21">
        <v>2.35</v>
      </c>
      <c r="T18" s="21">
        <v>39.0</v>
      </c>
      <c r="U18" s="21">
        <v>73.68</v>
      </c>
      <c r="V18" s="32">
        <v>300000.0</v>
      </c>
      <c r="W18" s="32">
        <v>0.0</v>
      </c>
      <c r="X18" s="32">
        <v>0.0</v>
      </c>
      <c r="Y18" s="32">
        <v>100.0</v>
      </c>
      <c r="Z18" s="32">
        <v>0.0</v>
      </c>
      <c r="AA18" s="32">
        <v>0.0</v>
      </c>
      <c r="AB18" s="32">
        <v>300081.0</v>
      </c>
      <c r="AC18" s="32">
        <v>81.0</v>
      </c>
      <c r="AD18" s="13" t="s">
        <v>54</v>
      </c>
      <c r="AE18" s="13" t="s">
        <v>54</v>
      </c>
      <c r="AF18" s="13" t="s">
        <v>72</v>
      </c>
    </row>
    <row r="19" ht="17.25" customHeight="1">
      <c r="A19" s="28"/>
      <c r="B19" s="28"/>
      <c r="C19" s="28"/>
      <c r="D19" s="28"/>
      <c r="E19" s="56">
        <v>243970.0</v>
      </c>
      <c r="F19" s="56">
        <v>56030.0</v>
      </c>
      <c r="G19" s="56">
        <v>18.6</v>
      </c>
      <c r="H19" s="56">
        <v>857.14</v>
      </c>
      <c r="I19" s="28"/>
      <c r="J19" s="56">
        <v>35817.0</v>
      </c>
      <c r="K19" s="56">
        <v>182679.0</v>
      </c>
      <c r="L19" s="56">
        <v>40646.0</v>
      </c>
      <c r="M19" s="56">
        <v>20374.0</v>
      </c>
      <c r="N19" s="56">
        <v>60544.0</v>
      </c>
      <c r="O19" s="56">
        <v>114468.0</v>
      </c>
      <c r="P19" s="56">
        <v>141789.0</v>
      </c>
      <c r="Q19" s="56">
        <v>9527.0</v>
      </c>
      <c r="R19" s="56">
        <v>49.0</v>
      </c>
      <c r="S19" s="57">
        <v>0.8</v>
      </c>
      <c r="T19" s="57">
        <v>13.0</v>
      </c>
      <c r="U19" s="57">
        <v>83.23</v>
      </c>
      <c r="V19" s="56">
        <v>300000.0</v>
      </c>
      <c r="W19" s="56">
        <v>0.0</v>
      </c>
      <c r="X19" s="56">
        <v>0.0</v>
      </c>
      <c r="Y19" s="56">
        <v>100.0</v>
      </c>
      <c r="Z19" s="56">
        <v>0.0</v>
      </c>
      <c r="AA19" s="56">
        <v>0.0</v>
      </c>
      <c r="AB19" s="56">
        <v>249707.0</v>
      </c>
      <c r="AC19" s="56">
        <v>5737.0</v>
      </c>
      <c r="AD19" s="58" t="s">
        <v>74</v>
      </c>
      <c r="AE19" s="58" t="s">
        <v>75</v>
      </c>
      <c r="AF19" s="58" t="s">
        <v>76</v>
      </c>
    </row>
    <row r="20" ht="17.25" customHeight="1">
      <c r="A20" s="37" t="s">
        <v>57</v>
      </c>
      <c r="B20" s="38">
        <v>100.0</v>
      </c>
      <c r="C20" s="38">
        <v>5.0</v>
      </c>
      <c r="D20" s="38">
        <v>30000.0</v>
      </c>
      <c r="E20" s="38">
        <v>30000.0</v>
      </c>
      <c r="F20" s="38">
        <v>0.0</v>
      </c>
      <c r="G20" s="38">
        <v>0.0</v>
      </c>
      <c r="H20" s="38">
        <v>100.0</v>
      </c>
      <c r="I20" s="38">
        <v>0.0</v>
      </c>
      <c r="J20" s="38">
        <v>2.0</v>
      </c>
      <c r="K20" s="39">
        <v>99.0</v>
      </c>
      <c r="L20" s="39">
        <v>2.0</v>
      </c>
      <c r="M20" s="39">
        <v>2.0</v>
      </c>
      <c r="N20" s="38">
        <v>2.0</v>
      </c>
      <c r="O20" s="38">
        <v>2.0</v>
      </c>
      <c r="P20" s="38">
        <v>4.0</v>
      </c>
      <c r="Q20" s="39">
        <v>31.0</v>
      </c>
      <c r="R20" s="39">
        <v>2.0</v>
      </c>
      <c r="S20" s="45">
        <v>0.99</v>
      </c>
      <c r="T20" s="45">
        <v>16.0</v>
      </c>
      <c r="U20" s="45">
        <v>36.07</v>
      </c>
      <c r="V20" s="39">
        <v>30000.0</v>
      </c>
      <c r="W20" s="39">
        <v>0.0</v>
      </c>
      <c r="X20" s="39">
        <v>0.0</v>
      </c>
      <c r="Y20" s="39">
        <v>100.0</v>
      </c>
      <c r="Z20" s="39">
        <v>0.0</v>
      </c>
      <c r="AA20" s="39">
        <v>0.0</v>
      </c>
      <c r="AB20" s="39">
        <v>30077.0</v>
      </c>
      <c r="AC20" s="39">
        <v>77.0</v>
      </c>
      <c r="AD20" s="44" t="s">
        <v>53</v>
      </c>
      <c r="AE20" s="44" t="s">
        <v>54</v>
      </c>
      <c r="AF20" s="44" t="s">
        <v>78</v>
      </c>
    </row>
    <row r="21" ht="17.2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39">
        <v>199.0</v>
      </c>
      <c r="L21" s="39">
        <v>3.0</v>
      </c>
      <c r="M21" s="39">
        <v>2.0</v>
      </c>
      <c r="N21" s="22"/>
      <c r="O21" s="22"/>
      <c r="P21" s="22"/>
      <c r="Q21" s="39">
        <v>16.0</v>
      </c>
      <c r="R21" s="39">
        <v>1.0</v>
      </c>
      <c r="S21" s="45">
        <v>1.0</v>
      </c>
      <c r="T21" s="45">
        <v>16.0</v>
      </c>
      <c r="U21" s="45">
        <v>41.0</v>
      </c>
      <c r="V21" s="39">
        <v>30000.0</v>
      </c>
      <c r="W21" s="39">
        <v>0.0</v>
      </c>
      <c r="X21" s="39">
        <v>0.0</v>
      </c>
      <c r="Y21" s="39">
        <v>100.0</v>
      </c>
      <c r="Z21" s="39">
        <v>0.0</v>
      </c>
      <c r="AA21" s="39">
        <v>0.0</v>
      </c>
      <c r="AB21" s="39">
        <v>30078.0</v>
      </c>
      <c r="AC21" s="39">
        <v>78.0</v>
      </c>
      <c r="AD21" s="44" t="s">
        <v>53</v>
      </c>
      <c r="AE21" s="44" t="s">
        <v>54</v>
      </c>
      <c r="AF21" s="44" t="s">
        <v>79</v>
      </c>
    </row>
    <row r="22" ht="17.2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39">
        <v>140.0</v>
      </c>
      <c r="L22" s="39">
        <v>2.0</v>
      </c>
      <c r="M22" s="39">
        <v>2.0</v>
      </c>
      <c r="N22" s="22"/>
      <c r="O22" s="22"/>
      <c r="P22" s="22"/>
      <c r="Q22" s="39">
        <v>32.0</v>
      </c>
      <c r="R22" s="39">
        <v>2.0</v>
      </c>
      <c r="S22" s="45">
        <v>0.98</v>
      </c>
      <c r="T22" s="45">
        <v>16.0</v>
      </c>
      <c r="U22" s="45">
        <v>49.11</v>
      </c>
      <c r="V22" s="39">
        <v>30000.0</v>
      </c>
      <c r="W22" s="39">
        <v>0.0</v>
      </c>
      <c r="X22" s="39">
        <v>0.0</v>
      </c>
      <c r="Y22" s="39">
        <v>100.0</v>
      </c>
      <c r="Z22" s="39">
        <v>0.0</v>
      </c>
      <c r="AA22" s="39">
        <v>0.0</v>
      </c>
      <c r="AB22" s="39">
        <v>30078.0</v>
      </c>
      <c r="AC22" s="39">
        <v>78.0</v>
      </c>
      <c r="AD22" s="44" t="s">
        <v>53</v>
      </c>
      <c r="AE22" s="44" t="s">
        <v>54</v>
      </c>
      <c r="AF22" s="44" t="s">
        <v>80</v>
      </c>
    </row>
    <row r="23" ht="17.2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39">
        <v>89.0</v>
      </c>
      <c r="L23" s="39">
        <v>1.0</v>
      </c>
      <c r="M23" s="39">
        <v>1.0</v>
      </c>
      <c r="N23" s="22"/>
      <c r="O23" s="22"/>
      <c r="P23" s="22"/>
      <c r="Q23" s="39">
        <v>16.0</v>
      </c>
      <c r="R23" s="39">
        <v>1.0</v>
      </c>
      <c r="S23" s="45">
        <v>0.92</v>
      </c>
      <c r="T23" s="45">
        <v>15.0</v>
      </c>
      <c r="U23" s="45">
        <v>43.36</v>
      </c>
      <c r="V23" s="39">
        <v>30000.0</v>
      </c>
      <c r="W23" s="39">
        <v>0.0</v>
      </c>
      <c r="X23" s="39">
        <v>0.0</v>
      </c>
      <c r="Y23" s="39">
        <v>100.0</v>
      </c>
      <c r="Z23" s="39">
        <v>0.0</v>
      </c>
      <c r="AA23" s="39">
        <v>0.0</v>
      </c>
      <c r="AB23" s="39">
        <v>30078.0</v>
      </c>
      <c r="AC23" s="39">
        <v>78.0</v>
      </c>
      <c r="AD23" s="44" t="s">
        <v>53</v>
      </c>
      <c r="AE23" s="44" t="s">
        <v>54</v>
      </c>
      <c r="AF23" s="44" t="s">
        <v>81</v>
      </c>
    </row>
    <row r="24" ht="17.2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39">
        <v>108.0</v>
      </c>
      <c r="L24" s="39">
        <v>2.0</v>
      </c>
      <c r="M24" s="39">
        <v>1.0</v>
      </c>
      <c r="N24" s="22"/>
      <c r="O24" s="22"/>
      <c r="P24" s="22"/>
      <c r="Q24" s="39">
        <v>29.0</v>
      </c>
      <c r="R24" s="39">
        <v>2.0</v>
      </c>
      <c r="S24" s="45">
        <v>0.85</v>
      </c>
      <c r="T24" s="45">
        <v>14.0</v>
      </c>
      <c r="U24" s="45">
        <v>45.85</v>
      </c>
      <c r="V24" s="39">
        <v>30000.0</v>
      </c>
      <c r="W24" s="39">
        <v>0.0</v>
      </c>
      <c r="X24" s="39">
        <v>0.0</v>
      </c>
      <c r="Y24" s="39">
        <v>100.0</v>
      </c>
      <c r="Z24" s="39">
        <v>0.0</v>
      </c>
      <c r="AA24" s="39">
        <v>0.0</v>
      </c>
      <c r="AB24" s="39">
        <v>30077.0</v>
      </c>
      <c r="AC24" s="39">
        <v>77.0</v>
      </c>
      <c r="AD24" s="44" t="s">
        <v>53</v>
      </c>
      <c r="AE24" s="44" t="s">
        <v>54</v>
      </c>
      <c r="AF24" s="44" t="s">
        <v>82</v>
      </c>
    </row>
    <row r="25" ht="17.25" customHeight="1">
      <c r="A25" s="22"/>
      <c r="B25" s="28"/>
      <c r="C25" s="28"/>
      <c r="D25" s="28"/>
      <c r="E25" s="28"/>
      <c r="F25" s="28"/>
      <c r="G25" s="28"/>
      <c r="H25" s="28"/>
      <c r="I25" s="28"/>
      <c r="J25" s="28"/>
      <c r="K25" s="39">
        <v>80.0</v>
      </c>
      <c r="L25" s="39">
        <v>1.0</v>
      </c>
      <c r="M25" s="39">
        <v>2.0</v>
      </c>
      <c r="N25" s="28"/>
      <c r="O25" s="28"/>
      <c r="P25" s="28"/>
      <c r="Q25" s="39">
        <v>0.0</v>
      </c>
      <c r="R25" s="39">
        <v>0.0</v>
      </c>
      <c r="S25" s="45">
        <v>1.59</v>
      </c>
      <c r="T25" s="45">
        <v>26.0</v>
      </c>
      <c r="U25" s="45">
        <v>37.63</v>
      </c>
      <c r="V25" s="39">
        <v>30000.0</v>
      </c>
      <c r="W25" s="39">
        <v>0.0</v>
      </c>
      <c r="X25" s="39">
        <v>0.0</v>
      </c>
      <c r="Y25" s="39">
        <v>100.0</v>
      </c>
      <c r="Z25" s="39">
        <v>0.0</v>
      </c>
      <c r="AA25" s="39">
        <v>0.0</v>
      </c>
      <c r="AB25" s="39">
        <v>30077.0</v>
      </c>
      <c r="AC25" s="39">
        <v>77.0</v>
      </c>
      <c r="AD25" s="44" t="s">
        <v>53</v>
      </c>
      <c r="AE25" s="44" t="s">
        <v>54</v>
      </c>
      <c r="AF25" s="44" t="s">
        <v>83</v>
      </c>
    </row>
    <row r="26" ht="17.25" customHeight="1">
      <c r="A26" s="22"/>
      <c r="B26" s="38">
        <v>500.0</v>
      </c>
      <c r="C26" s="61">
        <v>5.0</v>
      </c>
      <c r="D26" s="61">
        <v>150000.0</v>
      </c>
      <c r="E26" s="61">
        <v>150000.0</v>
      </c>
      <c r="F26" s="61">
        <v>0.0</v>
      </c>
      <c r="G26" s="61">
        <v>0.0</v>
      </c>
      <c r="H26" s="61">
        <v>500.0</v>
      </c>
      <c r="I26" s="61">
        <v>0.0</v>
      </c>
      <c r="J26" s="47">
        <v>29.0</v>
      </c>
      <c r="K26" s="47">
        <v>3799.0</v>
      </c>
      <c r="L26" s="47">
        <v>190.0</v>
      </c>
      <c r="M26" s="61">
        <v>1.0</v>
      </c>
      <c r="N26" s="61">
        <v>1.0</v>
      </c>
      <c r="O26" s="47">
        <v>2.0</v>
      </c>
      <c r="P26" s="47">
        <v>994.0</v>
      </c>
      <c r="Q26" s="47">
        <v>161.0</v>
      </c>
      <c r="R26" s="47">
        <v>6.0</v>
      </c>
      <c r="S26" s="51">
        <v>2.37</v>
      </c>
      <c r="T26" s="51">
        <v>39.0</v>
      </c>
      <c r="U26" s="51">
        <v>66.12</v>
      </c>
      <c r="V26" s="47">
        <v>150000.0</v>
      </c>
      <c r="W26" s="47">
        <v>0.0</v>
      </c>
      <c r="X26" s="47">
        <v>0.0</v>
      </c>
      <c r="Y26" s="47">
        <v>100.0</v>
      </c>
      <c r="Z26" s="47">
        <v>0.0</v>
      </c>
      <c r="AA26" s="47">
        <v>0.0</v>
      </c>
      <c r="AB26" s="47">
        <v>150077.0</v>
      </c>
      <c r="AC26" s="47">
        <v>77.0</v>
      </c>
      <c r="AD26" s="49" t="s">
        <v>54</v>
      </c>
      <c r="AE26" s="49" t="s">
        <v>54</v>
      </c>
      <c r="AF26" s="49" t="s">
        <v>84</v>
      </c>
    </row>
    <row r="27" ht="17.25" customHeight="1">
      <c r="A27" s="22"/>
      <c r="B27" s="22"/>
      <c r="C27" s="22"/>
      <c r="D27" s="22"/>
      <c r="E27" s="22"/>
      <c r="F27" s="22"/>
      <c r="G27" s="22"/>
      <c r="H27" s="22"/>
      <c r="I27" s="22"/>
      <c r="J27" s="47">
        <v>50.0</v>
      </c>
      <c r="K27" s="47">
        <v>5508.0</v>
      </c>
      <c r="L27" s="47">
        <v>297.0</v>
      </c>
      <c r="M27" s="22"/>
      <c r="N27" s="22"/>
      <c r="O27" s="47">
        <v>15.0</v>
      </c>
      <c r="P27" s="47">
        <v>1593.0</v>
      </c>
      <c r="Q27" s="47">
        <v>103.0</v>
      </c>
      <c r="R27" s="47">
        <v>7.0</v>
      </c>
      <c r="S27" s="51">
        <v>2.3</v>
      </c>
      <c r="T27" s="51">
        <v>38.0</v>
      </c>
      <c r="U27" s="51">
        <v>68.17</v>
      </c>
      <c r="V27" s="47">
        <v>150000.0</v>
      </c>
      <c r="W27" s="47">
        <v>0.0</v>
      </c>
      <c r="X27" s="47">
        <v>0.0</v>
      </c>
      <c r="Y27" s="47">
        <v>100.0</v>
      </c>
      <c r="Z27" s="47">
        <v>0.0</v>
      </c>
      <c r="AA27" s="47">
        <v>0.0</v>
      </c>
      <c r="AB27" s="47">
        <v>150078.0</v>
      </c>
      <c r="AC27" s="47">
        <v>78.0</v>
      </c>
      <c r="AD27" s="49" t="s">
        <v>54</v>
      </c>
      <c r="AE27" s="49" t="s">
        <v>54</v>
      </c>
      <c r="AF27" s="49" t="s">
        <v>85</v>
      </c>
    </row>
    <row r="28" ht="17.25" customHeight="1">
      <c r="A28" s="22"/>
      <c r="B28" s="22"/>
      <c r="C28" s="22"/>
      <c r="D28" s="22"/>
      <c r="E28" s="22"/>
      <c r="F28" s="22"/>
      <c r="G28" s="22"/>
      <c r="H28" s="22"/>
      <c r="I28" s="22"/>
      <c r="J28" s="53">
        <v>255.0</v>
      </c>
      <c r="K28" s="53">
        <v>12910.0</v>
      </c>
      <c r="L28" s="53">
        <v>1036.0</v>
      </c>
      <c r="M28" s="22"/>
      <c r="N28" s="22"/>
      <c r="O28" s="53">
        <v>2104.0</v>
      </c>
      <c r="P28" s="53">
        <v>5635.0</v>
      </c>
      <c r="Q28" s="53">
        <v>474.0</v>
      </c>
      <c r="R28" s="53">
        <v>8.0</v>
      </c>
      <c r="S28" s="54">
        <v>2.39</v>
      </c>
      <c r="T28" s="54">
        <v>39.0</v>
      </c>
      <c r="U28" s="54">
        <v>87.99</v>
      </c>
      <c r="V28" s="53">
        <v>150000.0</v>
      </c>
      <c r="W28" s="53">
        <v>0.0</v>
      </c>
      <c r="X28" s="53">
        <v>0.0</v>
      </c>
      <c r="Y28" s="53">
        <v>100.0</v>
      </c>
      <c r="Z28" s="53">
        <v>0.0</v>
      </c>
      <c r="AA28" s="53">
        <v>0.0</v>
      </c>
      <c r="AB28" s="53">
        <v>150078.0</v>
      </c>
      <c r="AC28" s="53">
        <v>78.0</v>
      </c>
      <c r="AD28" s="55" t="s">
        <v>54</v>
      </c>
      <c r="AE28" s="55" t="s">
        <v>54</v>
      </c>
      <c r="AF28" s="55" t="s">
        <v>86</v>
      </c>
    </row>
    <row r="29" ht="17.25" customHeight="1">
      <c r="A29" s="22"/>
      <c r="B29" s="22"/>
      <c r="C29" s="22"/>
      <c r="D29" s="22"/>
      <c r="E29" s="22"/>
      <c r="F29" s="22"/>
      <c r="G29" s="22"/>
      <c r="H29" s="22"/>
      <c r="I29" s="22"/>
      <c r="J29" s="47">
        <v>98.0</v>
      </c>
      <c r="K29" s="47">
        <v>8105.0</v>
      </c>
      <c r="L29" s="47">
        <v>533.0</v>
      </c>
      <c r="M29" s="22"/>
      <c r="N29" s="22"/>
      <c r="O29" s="47">
        <v>272.0</v>
      </c>
      <c r="P29" s="47">
        <v>2891.0</v>
      </c>
      <c r="Q29" s="47">
        <v>124.0</v>
      </c>
      <c r="R29" s="47">
        <v>6.0</v>
      </c>
      <c r="S29" s="51">
        <v>2.27</v>
      </c>
      <c r="T29" s="51">
        <v>37.0</v>
      </c>
      <c r="U29" s="51">
        <v>69.53</v>
      </c>
      <c r="V29" s="47">
        <v>150000.0</v>
      </c>
      <c r="W29" s="47">
        <v>0.0</v>
      </c>
      <c r="X29" s="47">
        <v>0.0</v>
      </c>
      <c r="Y29" s="47">
        <v>100.0</v>
      </c>
      <c r="Z29" s="47">
        <v>0.0</v>
      </c>
      <c r="AA29" s="47">
        <v>0.0</v>
      </c>
      <c r="AB29" s="47">
        <v>150077.0</v>
      </c>
      <c r="AC29" s="47">
        <v>77.0</v>
      </c>
      <c r="AD29" s="49" t="s">
        <v>54</v>
      </c>
      <c r="AE29" s="49" t="s">
        <v>54</v>
      </c>
      <c r="AF29" s="49" t="s">
        <v>93</v>
      </c>
    </row>
    <row r="30" ht="17.25" customHeight="1">
      <c r="A30" s="22"/>
      <c r="B30" s="22"/>
      <c r="C30" s="22"/>
      <c r="D30" s="22"/>
      <c r="E30" s="22"/>
      <c r="F30" s="22"/>
      <c r="G30" s="22"/>
      <c r="H30" s="22"/>
      <c r="I30" s="22"/>
      <c r="J30" s="47">
        <v>58.0</v>
      </c>
      <c r="K30" s="47">
        <v>5524.0</v>
      </c>
      <c r="L30" s="47">
        <v>344.0</v>
      </c>
      <c r="M30" s="22"/>
      <c r="N30" s="22"/>
      <c r="O30" s="47">
        <v>15.0</v>
      </c>
      <c r="P30" s="47">
        <v>1895.0</v>
      </c>
      <c r="Q30" s="47">
        <v>129.0</v>
      </c>
      <c r="R30" s="47">
        <v>7.0</v>
      </c>
      <c r="S30" s="51">
        <v>2.36</v>
      </c>
      <c r="T30" s="51">
        <v>39.0</v>
      </c>
      <c r="U30" s="51">
        <v>67.07</v>
      </c>
      <c r="V30" s="47">
        <v>150000.0</v>
      </c>
      <c r="W30" s="47">
        <v>0.0</v>
      </c>
      <c r="X30" s="47">
        <v>0.0</v>
      </c>
      <c r="Y30" s="47">
        <v>100.0</v>
      </c>
      <c r="Z30" s="47">
        <v>0.0</v>
      </c>
      <c r="AA30" s="47">
        <v>0.0</v>
      </c>
      <c r="AB30" s="47">
        <v>150077.0</v>
      </c>
      <c r="AC30" s="47">
        <v>77.0</v>
      </c>
      <c r="AD30" s="49" t="s">
        <v>54</v>
      </c>
      <c r="AE30" s="49" t="s">
        <v>54</v>
      </c>
      <c r="AF30" s="49" t="s">
        <v>94</v>
      </c>
    </row>
    <row r="31" ht="17.25" customHeight="1">
      <c r="A31" s="22"/>
      <c r="B31" s="28"/>
      <c r="C31" s="28"/>
      <c r="D31" s="28"/>
      <c r="E31" s="28"/>
      <c r="F31" s="28"/>
      <c r="G31" s="28"/>
      <c r="H31" s="28"/>
      <c r="I31" s="28"/>
      <c r="J31" s="47">
        <v>96.0</v>
      </c>
      <c r="K31" s="47">
        <v>8204.0</v>
      </c>
      <c r="L31" s="47">
        <v>526.0</v>
      </c>
      <c r="M31" s="28"/>
      <c r="N31" s="28"/>
      <c r="O31" s="47">
        <v>211.0</v>
      </c>
      <c r="P31" s="47">
        <v>2872.0</v>
      </c>
      <c r="Q31" s="47">
        <v>115.0</v>
      </c>
      <c r="R31" s="47">
        <v>6.0</v>
      </c>
      <c r="S31" s="51">
        <v>2.35</v>
      </c>
      <c r="T31" s="51">
        <v>39.0</v>
      </c>
      <c r="U31" s="51">
        <v>70.78</v>
      </c>
      <c r="V31" s="47">
        <v>150000.0</v>
      </c>
      <c r="W31" s="47">
        <v>0.0</v>
      </c>
      <c r="X31" s="47">
        <v>0.0</v>
      </c>
      <c r="Y31" s="47">
        <v>100.0</v>
      </c>
      <c r="Z31" s="47">
        <v>0.0</v>
      </c>
      <c r="AA31" s="47">
        <v>0.0</v>
      </c>
      <c r="AB31" s="47">
        <v>150079.0</v>
      </c>
      <c r="AC31" s="47">
        <v>79.0</v>
      </c>
      <c r="AD31" s="49" t="s">
        <v>54</v>
      </c>
      <c r="AE31" s="49" t="s">
        <v>54</v>
      </c>
      <c r="AF31" s="49" t="s">
        <v>95</v>
      </c>
    </row>
    <row r="32" ht="17.25" customHeight="1">
      <c r="A32" s="22"/>
      <c r="B32" s="38">
        <v>1000.0</v>
      </c>
      <c r="C32" s="61">
        <v>5.0</v>
      </c>
      <c r="D32" s="61">
        <v>300000.0</v>
      </c>
      <c r="E32" s="47">
        <v>300000.0</v>
      </c>
      <c r="F32" s="47">
        <v>0.0</v>
      </c>
      <c r="G32" s="47">
        <v>0.0</v>
      </c>
      <c r="H32" s="47">
        <v>1000.0</v>
      </c>
      <c r="I32" s="61">
        <v>0.0</v>
      </c>
      <c r="J32" s="47">
        <v>661.0</v>
      </c>
      <c r="K32" s="47">
        <v>14315.0</v>
      </c>
      <c r="L32" s="47">
        <v>1929.0</v>
      </c>
      <c r="M32" s="47">
        <v>1.0</v>
      </c>
      <c r="N32" s="47">
        <v>1.0</v>
      </c>
      <c r="O32" s="47">
        <v>5320.0</v>
      </c>
      <c r="P32" s="47">
        <v>9602.0</v>
      </c>
      <c r="Q32" s="47">
        <v>1129.0</v>
      </c>
      <c r="R32" s="47">
        <v>16.0</v>
      </c>
      <c r="S32" s="51">
        <v>2.32</v>
      </c>
      <c r="T32" s="51">
        <v>38.0</v>
      </c>
      <c r="U32" s="51">
        <v>82.95</v>
      </c>
      <c r="V32" s="47">
        <v>300000.0</v>
      </c>
      <c r="W32" s="47">
        <v>0.0</v>
      </c>
      <c r="X32" s="47">
        <v>0.0</v>
      </c>
      <c r="Y32" s="47">
        <v>100.0</v>
      </c>
      <c r="Z32" s="47">
        <v>0.0</v>
      </c>
      <c r="AA32" s="47">
        <v>0.0</v>
      </c>
      <c r="AB32" s="47">
        <v>300078.0</v>
      </c>
      <c r="AC32" s="47">
        <v>78.0</v>
      </c>
      <c r="AD32" s="49" t="s">
        <v>54</v>
      </c>
      <c r="AE32" s="49" t="s">
        <v>54</v>
      </c>
      <c r="AF32" s="49" t="s">
        <v>97</v>
      </c>
    </row>
    <row r="33" ht="17.25" customHeight="1">
      <c r="A33" s="22"/>
      <c r="B33" s="22"/>
      <c r="C33" s="22"/>
      <c r="D33" s="22"/>
      <c r="E33" s="56">
        <v>298059.0</v>
      </c>
      <c r="F33" s="56">
        <v>1941.0</v>
      </c>
      <c r="G33" s="56">
        <v>0.6</v>
      </c>
      <c r="H33" s="56">
        <v>1000.0</v>
      </c>
      <c r="I33" s="22"/>
      <c r="J33" s="56">
        <v>2854.0</v>
      </c>
      <c r="K33" s="56">
        <v>60002.0</v>
      </c>
      <c r="L33" s="56">
        <v>6688.0</v>
      </c>
      <c r="M33" s="56">
        <v>1.0</v>
      </c>
      <c r="N33" s="56">
        <v>1080.0</v>
      </c>
      <c r="O33" s="56">
        <v>17889.0</v>
      </c>
      <c r="P33" s="56">
        <v>26109.0</v>
      </c>
      <c r="Q33" s="56">
        <v>3038.0</v>
      </c>
      <c r="R33" s="56">
        <v>25.0</v>
      </c>
      <c r="S33" s="57">
        <v>0.95</v>
      </c>
      <c r="T33" s="57">
        <v>15.0</v>
      </c>
      <c r="U33" s="57">
        <v>68.33</v>
      </c>
      <c r="V33" s="56">
        <v>300000.0</v>
      </c>
      <c r="W33" s="56">
        <v>0.0</v>
      </c>
      <c r="X33" s="56">
        <v>0.0</v>
      </c>
      <c r="Y33" s="56">
        <v>100.0</v>
      </c>
      <c r="Z33" s="56">
        <v>0.0</v>
      </c>
      <c r="AA33" s="56">
        <v>0.0</v>
      </c>
      <c r="AB33" s="56">
        <v>299087.0</v>
      </c>
      <c r="AC33" s="56">
        <v>1028.0</v>
      </c>
      <c r="AD33" s="58" t="s">
        <v>53</v>
      </c>
      <c r="AE33" s="58" t="s">
        <v>53</v>
      </c>
      <c r="AF33" s="58" t="s">
        <v>99</v>
      </c>
    </row>
    <row r="34" ht="17.25" customHeight="1">
      <c r="A34" s="22"/>
      <c r="B34" s="22"/>
      <c r="C34" s="22"/>
      <c r="D34" s="22"/>
      <c r="E34" s="47">
        <v>299998.0</v>
      </c>
      <c r="F34" s="47">
        <v>2.0</v>
      </c>
      <c r="G34" s="47">
        <v>0.0</v>
      </c>
      <c r="H34" s="47">
        <v>1000.0</v>
      </c>
      <c r="I34" s="22"/>
      <c r="J34" s="47">
        <v>2671.0</v>
      </c>
      <c r="K34" s="47">
        <v>60005.0</v>
      </c>
      <c r="L34" s="47">
        <v>5419.0</v>
      </c>
      <c r="M34" s="47">
        <v>1.0</v>
      </c>
      <c r="N34" s="47">
        <v>3381.0</v>
      </c>
      <c r="O34" s="47">
        <v>17349.0</v>
      </c>
      <c r="P34" s="47">
        <v>22905.0</v>
      </c>
      <c r="Q34" s="47">
        <v>2165.0</v>
      </c>
      <c r="R34" s="47">
        <v>21.0</v>
      </c>
      <c r="S34" s="51">
        <v>0.95</v>
      </c>
      <c r="T34" s="51">
        <v>15.0</v>
      </c>
      <c r="U34" s="51">
        <v>80.56</v>
      </c>
      <c r="V34" s="47">
        <v>300000.0</v>
      </c>
      <c r="W34" s="47">
        <v>0.0</v>
      </c>
      <c r="X34" s="47">
        <v>0.0</v>
      </c>
      <c r="Y34" s="47">
        <v>100.0</v>
      </c>
      <c r="Z34" s="47">
        <v>0.0</v>
      </c>
      <c r="AA34" s="47">
        <v>0.0</v>
      </c>
      <c r="AB34" s="47">
        <v>300079.0</v>
      </c>
      <c r="AC34" s="47">
        <v>81.0</v>
      </c>
      <c r="AD34" s="49" t="s">
        <v>54</v>
      </c>
      <c r="AE34" s="49" t="s">
        <v>54</v>
      </c>
      <c r="AF34" s="49" t="s">
        <v>101</v>
      </c>
    </row>
    <row r="35" ht="17.25" customHeight="1">
      <c r="A35" s="22"/>
      <c r="B35" s="22"/>
      <c r="C35" s="22"/>
      <c r="D35" s="22"/>
      <c r="E35" s="47">
        <v>300000.0</v>
      </c>
      <c r="F35" s="47">
        <v>0.0</v>
      </c>
      <c r="G35" s="47">
        <v>0.0</v>
      </c>
      <c r="H35" s="47">
        <v>1000.0</v>
      </c>
      <c r="I35" s="22"/>
      <c r="J35" s="47">
        <v>889.0</v>
      </c>
      <c r="K35" s="47">
        <v>15963.0</v>
      </c>
      <c r="L35" s="47">
        <v>2512.0</v>
      </c>
      <c r="M35" s="47">
        <v>1.0</v>
      </c>
      <c r="N35" s="47">
        <v>1.0</v>
      </c>
      <c r="O35" s="47">
        <v>7788.0</v>
      </c>
      <c r="P35" s="47">
        <v>11194.0</v>
      </c>
      <c r="Q35" s="47">
        <v>1186.0</v>
      </c>
      <c r="R35" s="47">
        <v>16.0</v>
      </c>
      <c r="S35" s="51">
        <v>2.33</v>
      </c>
      <c r="T35" s="51">
        <v>38.0</v>
      </c>
      <c r="U35" s="51">
        <v>81.33</v>
      </c>
      <c r="V35" s="47">
        <v>300000.0</v>
      </c>
      <c r="W35" s="47">
        <v>0.0</v>
      </c>
      <c r="X35" s="47">
        <v>0.0</v>
      </c>
      <c r="Y35" s="47">
        <v>100.0</v>
      </c>
      <c r="Z35" s="47">
        <v>0.0</v>
      </c>
      <c r="AA35" s="47">
        <v>0.0</v>
      </c>
      <c r="AB35" s="47">
        <v>300079.0</v>
      </c>
      <c r="AC35" s="47">
        <v>79.0</v>
      </c>
      <c r="AD35" s="49" t="s">
        <v>54</v>
      </c>
      <c r="AE35" s="49" t="s">
        <v>54</v>
      </c>
      <c r="AF35" s="49" t="s">
        <v>102</v>
      </c>
    </row>
    <row r="36" ht="17.25" customHeight="1">
      <c r="A36" s="22"/>
      <c r="B36" s="22"/>
      <c r="C36" s="22"/>
      <c r="D36" s="22"/>
      <c r="E36" s="47">
        <v>300000.0</v>
      </c>
      <c r="F36" s="47">
        <v>0.0</v>
      </c>
      <c r="G36" s="47">
        <v>0.0</v>
      </c>
      <c r="H36" s="47">
        <v>1000.0</v>
      </c>
      <c r="I36" s="22"/>
      <c r="J36" s="47">
        <v>974.0</v>
      </c>
      <c r="K36" s="47">
        <v>22783.0</v>
      </c>
      <c r="L36" s="47">
        <v>2696.0</v>
      </c>
      <c r="M36" s="47">
        <v>1.0</v>
      </c>
      <c r="N36" s="47">
        <v>1.0</v>
      </c>
      <c r="O36" s="47">
        <v>7992.0</v>
      </c>
      <c r="P36" s="47">
        <v>12361.0</v>
      </c>
      <c r="Q36" s="47">
        <v>1676.0</v>
      </c>
      <c r="R36" s="47">
        <v>18.0</v>
      </c>
      <c r="S36" s="51">
        <v>2.35</v>
      </c>
      <c r="T36" s="51">
        <v>39.0</v>
      </c>
      <c r="U36" s="51">
        <v>83.33</v>
      </c>
      <c r="V36" s="47">
        <v>300000.0</v>
      </c>
      <c r="W36" s="47">
        <v>0.0</v>
      </c>
      <c r="X36" s="47">
        <v>0.0</v>
      </c>
      <c r="Y36" s="47">
        <v>100.0</v>
      </c>
      <c r="Z36" s="47">
        <v>0.0</v>
      </c>
      <c r="AA36" s="47">
        <v>0.0</v>
      </c>
      <c r="AB36" s="47">
        <v>300079.0</v>
      </c>
      <c r="AC36" s="47">
        <v>79.0</v>
      </c>
      <c r="AD36" s="49" t="s">
        <v>54</v>
      </c>
      <c r="AE36" s="49" t="s">
        <v>54</v>
      </c>
      <c r="AF36" s="49" t="s">
        <v>103</v>
      </c>
    </row>
    <row r="37" ht="17.25" customHeight="1">
      <c r="A37" s="28"/>
      <c r="B37" s="28"/>
      <c r="C37" s="28"/>
      <c r="D37" s="28"/>
      <c r="E37" s="56">
        <v>237007.0</v>
      </c>
      <c r="F37" s="56">
        <v>62993.0</v>
      </c>
      <c r="G37" s="56">
        <v>20.9</v>
      </c>
      <c r="H37" s="56">
        <v>874.64</v>
      </c>
      <c r="I37" s="28"/>
      <c r="J37" s="56">
        <v>33269.0</v>
      </c>
      <c r="K37" s="56">
        <v>172481.0</v>
      </c>
      <c r="L37" s="56">
        <v>39169.0</v>
      </c>
      <c r="M37" s="56">
        <v>16191.0</v>
      </c>
      <c r="N37" s="56">
        <v>60142.0</v>
      </c>
      <c r="O37" s="56">
        <v>113354.0</v>
      </c>
      <c r="P37" s="56">
        <v>129507.0</v>
      </c>
      <c r="Q37" s="56">
        <v>11308.0</v>
      </c>
      <c r="R37" s="56">
        <v>57.0</v>
      </c>
      <c r="S37" s="57">
        <v>1.6</v>
      </c>
      <c r="T37" s="57">
        <v>26.0</v>
      </c>
      <c r="U37" s="57">
        <v>76.06</v>
      </c>
      <c r="V37" s="56">
        <v>300000.0</v>
      </c>
      <c r="W37" s="56">
        <v>0.0</v>
      </c>
      <c r="X37" s="56">
        <v>0.0</v>
      </c>
      <c r="Y37" s="56">
        <v>100.0</v>
      </c>
      <c r="Z37" s="56">
        <v>0.0</v>
      </c>
      <c r="AA37" s="56">
        <v>0.0</v>
      </c>
      <c r="AB37" s="56">
        <v>243910.0</v>
      </c>
      <c r="AC37" s="56">
        <v>6903.0</v>
      </c>
      <c r="AD37" s="58" t="s">
        <v>74</v>
      </c>
      <c r="AE37" s="58" t="s">
        <v>75</v>
      </c>
      <c r="AF37" s="58" t="s">
        <v>104</v>
      </c>
    </row>
    <row r="38" ht="17.25" customHeight="1">
      <c r="A38" s="5" t="s">
        <v>68</v>
      </c>
      <c r="B38" s="7">
        <v>100.0</v>
      </c>
      <c r="C38" s="36">
        <v>5.0</v>
      </c>
      <c r="D38" s="36">
        <v>30000.0</v>
      </c>
      <c r="E38" s="36">
        <v>30000.0</v>
      </c>
      <c r="F38" s="36">
        <v>0.0</v>
      </c>
      <c r="G38" s="36">
        <v>0.0</v>
      </c>
      <c r="H38" s="36">
        <v>100.0</v>
      </c>
      <c r="I38" s="36">
        <v>0.0</v>
      </c>
      <c r="J38" s="32">
        <v>2.0</v>
      </c>
      <c r="K38" s="32">
        <v>198.0</v>
      </c>
      <c r="L38" s="32">
        <v>3.0</v>
      </c>
      <c r="M38" s="32">
        <v>2.0</v>
      </c>
      <c r="N38" s="36">
        <v>2.0</v>
      </c>
      <c r="O38" s="32">
        <v>2.0</v>
      </c>
      <c r="P38" s="32">
        <v>4.0</v>
      </c>
      <c r="Q38" s="32">
        <v>34.0</v>
      </c>
      <c r="R38" s="32">
        <v>2.0</v>
      </c>
      <c r="S38" s="21">
        <v>0.84</v>
      </c>
      <c r="T38" s="21">
        <v>14.0</v>
      </c>
      <c r="U38" s="21">
        <v>44.85</v>
      </c>
      <c r="V38" s="32">
        <v>30000.0</v>
      </c>
      <c r="W38" s="32">
        <v>0.0</v>
      </c>
      <c r="X38" s="32">
        <v>0.0</v>
      </c>
      <c r="Y38" s="32">
        <v>100.0</v>
      </c>
      <c r="Z38" s="32">
        <v>0.0</v>
      </c>
      <c r="AA38" s="32">
        <v>0.0</v>
      </c>
      <c r="AB38" s="32">
        <v>30077.0</v>
      </c>
      <c r="AC38" s="32">
        <v>77.0</v>
      </c>
      <c r="AD38" s="13" t="s">
        <v>53</v>
      </c>
      <c r="AE38" s="13" t="s">
        <v>54</v>
      </c>
      <c r="AF38" s="13" t="s">
        <v>105</v>
      </c>
    </row>
    <row r="39" ht="17.25" customHeight="1">
      <c r="A39" s="22"/>
      <c r="B39" s="22"/>
      <c r="C39" s="22"/>
      <c r="D39" s="22"/>
      <c r="E39" s="22"/>
      <c r="F39" s="22"/>
      <c r="G39" s="22"/>
      <c r="H39" s="22"/>
      <c r="I39" s="22"/>
      <c r="J39" s="32">
        <v>2.0</v>
      </c>
      <c r="K39" s="32">
        <v>127.0</v>
      </c>
      <c r="L39" s="32">
        <v>2.0</v>
      </c>
      <c r="M39" s="32">
        <v>2.0</v>
      </c>
      <c r="N39" s="22"/>
      <c r="O39" s="32">
        <v>2.0</v>
      </c>
      <c r="P39" s="32">
        <v>4.0</v>
      </c>
      <c r="Q39" s="32">
        <v>0.0</v>
      </c>
      <c r="R39" s="32">
        <v>0.0</v>
      </c>
      <c r="S39" s="21">
        <v>1.6</v>
      </c>
      <c r="T39" s="21">
        <v>26.0</v>
      </c>
      <c r="U39" s="21">
        <v>49.61</v>
      </c>
      <c r="V39" s="32">
        <v>30000.0</v>
      </c>
      <c r="W39" s="32">
        <v>0.0</v>
      </c>
      <c r="X39" s="32">
        <v>0.0</v>
      </c>
      <c r="Y39" s="32">
        <v>100.0</v>
      </c>
      <c r="Z39" s="32">
        <v>0.0</v>
      </c>
      <c r="AA39" s="32">
        <v>0.0</v>
      </c>
      <c r="AB39" s="32">
        <v>30078.0</v>
      </c>
      <c r="AC39" s="32">
        <v>78.0</v>
      </c>
      <c r="AD39" s="13" t="s">
        <v>53</v>
      </c>
      <c r="AE39" s="13" t="s">
        <v>54</v>
      </c>
      <c r="AF39" s="13" t="s">
        <v>106</v>
      </c>
    </row>
    <row r="40" ht="17.25" customHeight="1">
      <c r="A40" s="22"/>
      <c r="B40" s="22"/>
      <c r="C40" s="22"/>
      <c r="D40" s="22"/>
      <c r="E40" s="22"/>
      <c r="F40" s="22"/>
      <c r="G40" s="22"/>
      <c r="H40" s="22"/>
      <c r="I40" s="22"/>
      <c r="J40" s="32">
        <v>2.0</v>
      </c>
      <c r="K40" s="32">
        <v>102.0</v>
      </c>
      <c r="L40" s="32">
        <v>2.0</v>
      </c>
      <c r="M40" s="32">
        <v>2.0</v>
      </c>
      <c r="N40" s="22"/>
      <c r="O40" s="32">
        <v>2.0</v>
      </c>
      <c r="P40" s="32">
        <v>4.0</v>
      </c>
      <c r="Q40" s="32">
        <v>33.0</v>
      </c>
      <c r="R40" s="32">
        <v>2.0</v>
      </c>
      <c r="S40" s="21">
        <v>1.06</v>
      </c>
      <c r="T40" s="21">
        <v>17.0</v>
      </c>
      <c r="U40" s="21">
        <v>39.95</v>
      </c>
      <c r="V40" s="32">
        <v>30000.0</v>
      </c>
      <c r="W40" s="32">
        <v>0.0</v>
      </c>
      <c r="X40" s="32">
        <v>0.0</v>
      </c>
      <c r="Y40" s="32">
        <v>100.0</v>
      </c>
      <c r="Z40" s="32">
        <v>0.0</v>
      </c>
      <c r="AA40" s="32">
        <v>0.0</v>
      </c>
      <c r="AB40" s="32">
        <v>30079.0</v>
      </c>
      <c r="AC40" s="32">
        <v>79.0</v>
      </c>
      <c r="AD40" s="13" t="s">
        <v>53</v>
      </c>
      <c r="AE40" s="13" t="s">
        <v>54</v>
      </c>
      <c r="AF40" s="13" t="s">
        <v>107</v>
      </c>
    </row>
    <row r="41" ht="17.25" customHeight="1">
      <c r="A41" s="22"/>
      <c r="B41" s="22"/>
      <c r="C41" s="22"/>
      <c r="D41" s="22"/>
      <c r="E41" s="22"/>
      <c r="F41" s="22"/>
      <c r="G41" s="22"/>
      <c r="H41" s="22"/>
      <c r="I41" s="22"/>
      <c r="J41" s="53">
        <v>2.0</v>
      </c>
      <c r="K41" s="53">
        <v>84.0</v>
      </c>
      <c r="L41" s="53">
        <v>1.0</v>
      </c>
      <c r="M41" s="53">
        <v>2.0</v>
      </c>
      <c r="N41" s="22"/>
      <c r="O41" s="53">
        <v>3.0</v>
      </c>
      <c r="P41" s="53">
        <v>4.0</v>
      </c>
      <c r="Q41" s="53">
        <v>16.0</v>
      </c>
      <c r="R41" s="53">
        <v>1.0</v>
      </c>
      <c r="S41" s="54">
        <v>0.99</v>
      </c>
      <c r="T41" s="54">
        <v>16.0</v>
      </c>
      <c r="U41" s="54">
        <v>41.15</v>
      </c>
      <c r="V41" s="53">
        <v>30000.0</v>
      </c>
      <c r="W41" s="53">
        <v>0.0</v>
      </c>
      <c r="X41" s="53">
        <v>0.0</v>
      </c>
      <c r="Y41" s="53">
        <v>100.0</v>
      </c>
      <c r="Z41" s="53">
        <v>0.0</v>
      </c>
      <c r="AA41" s="53">
        <v>0.0</v>
      </c>
      <c r="AB41" s="53">
        <v>30077.0</v>
      </c>
      <c r="AC41" s="53">
        <v>77.0</v>
      </c>
      <c r="AD41" s="55" t="s">
        <v>53</v>
      </c>
      <c r="AE41" s="55" t="s">
        <v>54</v>
      </c>
      <c r="AF41" s="55" t="s">
        <v>108</v>
      </c>
    </row>
    <row r="42" ht="17.25" customHeight="1">
      <c r="A42" s="22"/>
      <c r="B42" s="22"/>
      <c r="C42" s="22"/>
      <c r="D42" s="22"/>
      <c r="E42" s="22"/>
      <c r="F42" s="22"/>
      <c r="G42" s="22"/>
      <c r="H42" s="22"/>
      <c r="I42" s="22"/>
      <c r="J42" s="32">
        <v>2.0</v>
      </c>
      <c r="K42" s="32">
        <v>119.0</v>
      </c>
      <c r="L42" s="32">
        <v>2.0</v>
      </c>
      <c r="M42" s="32">
        <v>2.0</v>
      </c>
      <c r="N42" s="22"/>
      <c r="O42" s="32">
        <v>2.0</v>
      </c>
      <c r="P42" s="32">
        <v>4.0</v>
      </c>
      <c r="Q42" s="32">
        <v>33.0</v>
      </c>
      <c r="R42" s="32">
        <v>2.0</v>
      </c>
      <c r="S42" s="21">
        <v>0.77</v>
      </c>
      <c r="T42" s="21">
        <v>12.0</v>
      </c>
      <c r="U42" s="21">
        <v>39.21</v>
      </c>
      <c r="V42" s="32">
        <v>30000.0</v>
      </c>
      <c r="W42" s="32">
        <v>0.0</v>
      </c>
      <c r="X42" s="32">
        <v>0.0</v>
      </c>
      <c r="Y42" s="32">
        <v>100.0</v>
      </c>
      <c r="Z42" s="32">
        <v>0.0</v>
      </c>
      <c r="AA42" s="32">
        <v>0.0</v>
      </c>
      <c r="AB42" s="32">
        <v>30077.0</v>
      </c>
      <c r="AC42" s="32">
        <v>77.0</v>
      </c>
      <c r="AD42" s="13" t="s">
        <v>53</v>
      </c>
      <c r="AE42" s="13" t="s">
        <v>54</v>
      </c>
      <c r="AF42" s="13" t="s">
        <v>109</v>
      </c>
    </row>
    <row r="43" ht="17.25" customHeight="1">
      <c r="A43" s="22"/>
      <c r="B43" s="28"/>
      <c r="C43" s="28"/>
      <c r="D43" s="28"/>
      <c r="E43" s="28"/>
      <c r="F43" s="28"/>
      <c r="G43" s="28"/>
      <c r="H43" s="28"/>
      <c r="I43" s="28"/>
      <c r="J43" s="32">
        <v>1.0</v>
      </c>
      <c r="K43" s="32">
        <v>15.0</v>
      </c>
      <c r="L43" s="32">
        <v>1.0</v>
      </c>
      <c r="M43" s="32">
        <v>1.0</v>
      </c>
      <c r="N43" s="28"/>
      <c r="O43" s="32">
        <v>2.0</v>
      </c>
      <c r="P43" s="32">
        <v>3.0</v>
      </c>
      <c r="Q43" s="32">
        <v>13.0</v>
      </c>
      <c r="R43" s="32">
        <v>1.0</v>
      </c>
      <c r="S43" s="21">
        <v>1.34</v>
      </c>
      <c r="T43" s="21">
        <v>22.0</v>
      </c>
      <c r="U43" s="21">
        <v>2.77</v>
      </c>
      <c r="V43" s="32">
        <v>30000.0</v>
      </c>
      <c r="W43" s="32">
        <v>0.0</v>
      </c>
      <c r="X43" s="32">
        <v>0.0</v>
      </c>
      <c r="Y43" s="32">
        <v>100.0</v>
      </c>
      <c r="Z43" s="32">
        <v>0.0</v>
      </c>
      <c r="AA43" s="32">
        <v>0.0</v>
      </c>
      <c r="AB43" s="32">
        <v>30077.0</v>
      </c>
      <c r="AC43" s="32">
        <v>77.0</v>
      </c>
      <c r="AD43" s="13" t="s">
        <v>53</v>
      </c>
      <c r="AE43" s="13" t="s">
        <v>54</v>
      </c>
      <c r="AF43" s="13" t="s">
        <v>110</v>
      </c>
    </row>
    <row r="44" ht="17.25" customHeight="1">
      <c r="A44" s="22"/>
      <c r="B44" s="7">
        <v>500.0</v>
      </c>
      <c r="C44" s="36">
        <v>5.0</v>
      </c>
      <c r="D44" s="36">
        <v>150000.0</v>
      </c>
      <c r="E44" s="36">
        <v>150000.0</v>
      </c>
      <c r="F44" s="36">
        <v>0.0</v>
      </c>
      <c r="G44" s="36">
        <v>0.0</v>
      </c>
      <c r="H44" s="36">
        <v>500.0</v>
      </c>
      <c r="I44" s="36">
        <v>0.0</v>
      </c>
      <c r="J44" s="53">
        <v>11859.0</v>
      </c>
      <c r="K44" s="53">
        <v>47818.0</v>
      </c>
      <c r="L44" s="53">
        <v>10179.0</v>
      </c>
      <c r="M44" s="53">
        <v>13690.0</v>
      </c>
      <c r="N44" s="53">
        <v>21348.0</v>
      </c>
      <c r="O44" s="53">
        <v>25821.0</v>
      </c>
      <c r="P44" s="53">
        <v>30252.0</v>
      </c>
      <c r="Q44" s="53">
        <v>875.0</v>
      </c>
      <c r="R44" s="53">
        <v>10.0</v>
      </c>
      <c r="S44" s="54">
        <v>2.17</v>
      </c>
      <c r="T44" s="54">
        <v>36.0</v>
      </c>
      <c r="U44" s="54">
        <v>87.97</v>
      </c>
      <c r="V44" s="53">
        <v>150000.0</v>
      </c>
      <c r="W44" s="53">
        <v>0.0</v>
      </c>
      <c r="X44" s="53">
        <v>0.0</v>
      </c>
      <c r="Y44" s="53">
        <v>100.0</v>
      </c>
      <c r="Z44" s="53">
        <v>0.0</v>
      </c>
      <c r="AA44" s="53">
        <v>0.0</v>
      </c>
      <c r="AB44" s="53">
        <v>150078.0</v>
      </c>
      <c r="AC44" s="53">
        <v>78.0</v>
      </c>
      <c r="AD44" s="55" t="s">
        <v>54</v>
      </c>
      <c r="AE44" s="55" t="s">
        <v>54</v>
      </c>
      <c r="AF44" s="55" t="s">
        <v>111</v>
      </c>
    </row>
    <row r="45" ht="17.25" customHeight="1">
      <c r="A45" s="22"/>
      <c r="B45" s="22"/>
      <c r="C45" s="22"/>
      <c r="D45" s="22"/>
      <c r="E45" s="22"/>
      <c r="F45" s="22"/>
      <c r="G45" s="22"/>
      <c r="H45" s="22"/>
      <c r="I45" s="22"/>
      <c r="J45" s="32">
        <v>60.0</v>
      </c>
      <c r="K45" s="32">
        <v>6783.0</v>
      </c>
      <c r="L45" s="32">
        <v>348.0</v>
      </c>
      <c r="M45" s="32">
        <v>1.0</v>
      </c>
      <c r="N45" s="32">
        <v>1.0</v>
      </c>
      <c r="O45" s="32">
        <v>20.0</v>
      </c>
      <c r="P45" s="32">
        <v>1902.0</v>
      </c>
      <c r="Q45" s="32">
        <v>144.0</v>
      </c>
      <c r="R45" s="32">
        <v>6.0</v>
      </c>
      <c r="S45" s="21">
        <v>2.33</v>
      </c>
      <c r="T45" s="21">
        <v>38.0</v>
      </c>
      <c r="U45" s="21">
        <v>65.58</v>
      </c>
      <c r="V45" s="32">
        <v>150000.0</v>
      </c>
      <c r="W45" s="32">
        <v>0.0</v>
      </c>
      <c r="X45" s="32">
        <v>0.0</v>
      </c>
      <c r="Y45" s="32">
        <v>100.0</v>
      </c>
      <c r="Z45" s="32">
        <v>0.0</v>
      </c>
      <c r="AA45" s="32">
        <v>0.0</v>
      </c>
      <c r="AB45" s="32">
        <v>150080.0</v>
      </c>
      <c r="AC45" s="32">
        <v>80.0</v>
      </c>
      <c r="AD45" s="13" t="s">
        <v>54</v>
      </c>
      <c r="AE45" s="13" t="s">
        <v>54</v>
      </c>
      <c r="AF45" s="13" t="s">
        <v>112</v>
      </c>
    </row>
    <row r="46" ht="17.25" customHeight="1">
      <c r="A46" s="22"/>
      <c r="B46" s="22"/>
      <c r="C46" s="22"/>
      <c r="D46" s="22"/>
      <c r="E46" s="22"/>
      <c r="F46" s="22"/>
      <c r="G46" s="22"/>
      <c r="H46" s="22"/>
      <c r="I46" s="22"/>
      <c r="J46" s="32">
        <v>94.0</v>
      </c>
      <c r="K46" s="32">
        <v>9580.0</v>
      </c>
      <c r="L46" s="32">
        <v>449.0</v>
      </c>
      <c r="M46" s="32">
        <v>1.0</v>
      </c>
      <c r="N46" s="32">
        <v>1.0</v>
      </c>
      <c r="O46" s="32">
        <v>609.0</v>
      </c>
      <c r="P46" s="32">
        <v>2354.0</v>
      </c>
      <c r="Q46" s="32">
        <v>78.0</v>
      </c>
      <c r="R46" s="32">
        <v>5.0</v>
      </c>
      <c r="S46" s="21">
        <v>2.36</v>
      </c>
      <c r="T46" s="21">
        <v>39.0</v>
      </c>
      <c r="U46" s="21">
        <v>82.41</v>
      </c>
      <c r="V46" s="32">
        <v>150000.0</v>
      </c>
      <c r="W46" s="32">
        <v>0.0</v>
      </c>
      <c r="X46" s="32">
        <v>0.0</v>
      </c>
      <c r="Y46" s="32">
        <v>100.0</v>
      </c>
      <c r="Z46" s="32">
        <v>0.0</v>
      </c>
      <c r="AA46" s="32">
        <v>0.0</v>
      </c>
      <c r="AB46" s="32">
        <v>150078.0</v>
      </c>
      <c r="AC46" s="32">
        <v>78.0</v>
      </c>
      <c r="AD46" s="13" t="s">
        <v>54</v>
      </c>
      <c r="AE46" s="13" t="s">
        <v>54</v>
      </c>
      <c r="AF46" s="13" t="s">
        <v>113</v>
      </c>
    </row>
    <row r="47" ht="17.25" customHeight="1">
      <c r="A47" s="22"/>
      <c r="B47" s="22"/>
      <c r="C47" s="22"/>
      <c r="D47" s="22"/>
      <c r="E47" s="22"/>
      <c r="F47" s="22"/>
      <c r="G47" s="22"/>
      <c r="H47" s="22"/>
      <c r="I47" s="22"/>
      <c r="J47" s="32">
        <v>49.0</v>
      </c>
      <c r="K47" s="32">
        <v>5676.0</v>
      </c>
      <c r="L47" s="32">
        <v>288.0</v>
      </c>
      <c r="M47" s="32">
        <v>1.0</v>
      </c>
      <c r="N47" s="32">
        <v>1.0</v>
      </c>
      <c r="O47" s="32">
        <v>16.0</v>
      </c>
      <c r="P47" s="32">
        <v>1426.0</v>
      </c>
      <c r="Q47" s="32">
        <v>308.0</v>
      </c>
      <c r="R47" s="32">
        <v>6.0</v>
      </c>
      <c r="S47" s="21">
        <v>2.36</v>
      </c>
      <c r="T47" s="21">
        <v>39.0</v>
      </c>
      <c r="U47" s="21">
        <v>68.02</v>
      </c>
      <c r="V47" s="32">
        <v>150000.0</v>
      </c>
      <c r="W47" s="32">
        <v>0.0</v>
      </c>
      <c r="X47" s="32">
        <v>0.0</v>
      </c>
      <c r="Y47" s="32">
        <v>100.0</v>
      </c>
      <c r="Z47" s="32">
        <v>0.0</v>
      </c>
      <c r="AA47" s="32">
        <v>0.0</v>
      </c>
      <c r="AB47" s="32">
        <v>150078.0</v>
      </c>
      <c r="AC47" s="32">
        <v>78.0</v>
      </c>
      <c r="AD47" s="13" t="s">
        <v>54</v>
      </c>
      <c r="AE47" s="13" t="s">
        <v>54</v>
      </c>
      <c r="AF47" s="13" t="s">
        <v>114</v>
      </c>
    </row>
    <row r="48" ht="17.25" customHeight="1">
      <c r="A48" s="22"/>
      <c r="B48" s="22"/>
      <c r="C48" s="22"/>
      <c r="D48" s="22"/>
      <c r="E48" s="22"/>
      <c r="F48" s="22"/>
      <c r="G48" s="22"/>
      <c r="H48" s="22"/>
      <c r="I48" s="22"/>
      <c r="J48" s="32">
        <v>59.0</v>
      </c>
      <c r="K48" s="32">
        <v>6290.0</v>
      </c>
      <c r="L48" s="32">
        <v>341.0</v>
      </c>
      <c r="M48" s="32">
        <v>1.0</v>
      </c>
      <c r="N48" s="32">
        <v>1.0</v>
      </c>
      <c r="O48" s="32">
        <v>16.0</v>
      </c>
      <c r="P48" s="32">
        <v>1890.0</v>
      </c>
      <c r="Q48" s="32">
        <v>250.0</v>
      </c>
      <c r="R48" s="32">
        <v>6.0</v>
      </c>
      <c r="S48" s="21">
        <v>2.36</v>
      </c>
      <c r="T48" s="21">
        <v>39.0</v>
      </c>
      <c r="U48" s="21">
        <v>68.71</v>
      </c>
      <c r="V48" s="32">
        <v>150000.0</v>
      </c>
      <c r="W48" s="32">
        <v>0.0</v>
      </c>
      <c r="X48" s="32">
        <v>0.0</v>
      </c>
      <c r="Y48" s="32">
        <v>100.0</v>
      </c>
      <c r="Z48" s="32">
        <v>0.0</v>
      </c>
      <c r="AA48" s="32">
        <v>0.0</v>
      </c>
      <c r="AB48" s="32">
        <v>150078.0</v>
      </c>
      <c r="AC48" s="32">
        <v>78.0</v>
      </c>
      <c r="AD48" s="13" t="s">
        <v>54</v>
      </c>
      <c r="AE48" s="13" t="s">
        <v>54</v>
      </c>
      <c r="AF48" s="13" t="s">
        <v>115</v>
      </c>
    </row>
    <row r="49" ht="17.25" customHeight="1">
      <c r="A49" s="22"/>
      <c r="B49" s="28"/>
      <c r="C49" s="28"/>
      <c r="D49" s="28"/>
      <c r="E49" s="28"/>
      <c r="F49" s="28"/>
      <c r="G49" s="28"/>
      <c r="H49" s="28"/>
      <c r="I49" s="28"/>
      <c r="J49" s="32">
        <v>103.0</v>
      </c>
      <c r="K49" s="32">
        <v>7486.0</v>
      </c>
      <c r="L49" s="32">
        <v>552.0</v>
      </c>
      <c r="M49" s="32">
        <v>1.0</v>
      </c>
      <c r="N49" s="32">
        <v>1.0</v>
      </c>
      <c r="O49" s="32">
        <v>420.0</v>
      </c>
      <c r="P49" s="32">
        <v>2913.0</v>
      </c>
      <c r="Q49" s="32">
        <v>508.0</v>
      </c>
      <c r="R49" s="32">
        <v>6.0</v>
      </c>
      <c r="S49" s="21">
        <v>2.3</v>
      </c>
      <c r="T49" s="21">
        <v>38.0</v>
      </c>
      <c r="U49" s="21">
        <v>70.31</v>
      </c>
      <c r="V49" s="32">
        <v>150000.0</v>
      </c>
      <c r="W49" s="32">
        <v>0.0</v>
      </c>
      <c r="X49" s="32">
        <v>0.0</v>
      </c>
      <c r="Y49" s="32">
        <v>100.0</v>
      </c>
      <c r="Z49" s="32">
        <v>0.0</v>
      </c>
      <c r="AA49" s="32">
        <v>0.0</v>
      </c>
      <c r="AB49" s="32">
        <v>150078.0</v>
      </c>
      <c r="AC49" s="32">
        <v>78.0</v>
      </c>
      <c r="AD49" s="13" t="s">
        <v>54</v>
      </c>
      <c r="AE49" s="13" t="s">
        <v>54</v>
      </c>
      <c r="AF49" s="13" t="s">
        <v>116</v>
      </c>
    </row>
    <row r="50" ht="17.25" customHeight="1">
      <c r="A50" s="22"/>
      <c r="B50" s="7">
        <v>1000.0</v>
      </c>
      <c r="C50" s="67">
        <v>5.0</v>
      </c>
      <c r="D50" s="67">
        <v>300000.0</v>
      </c>
      <c r="E50" s="56">
        <v>225865.0</v>
      </c>
      <c r="F50" s="56">
        <v>74135.0</v>
      </c>
      <c r="G50" s="56">
        <v>24.7</v>
      </c>
      <c r="H50" s="56">
        <v>864.55</v>
      </c>
      <c r="I50" s="67">
        <v>0.0</v>
      </c>
      <c r="J50" s="56">
        <v>36354.0</v>
      </c>
      <c r="K50" s="56">
        <v>178913.0</v>
      </c>
      <c r="L50" s="56">
        <v>38417.0</v>
      </c>
      <c r="M50" s="56">
        <v>22395.0</v>
      </c>
      <c r="N50" s="56">
        <v>62568.0</v>
      </c>
      <c r="O50" s="56">
        <v>107454.0</v>
      </c>
      <c r="P50" s="56">
        <v>131340.0</v>
      </c>
      <c r="Q50" s="56">
        <v>7454.0</v>
      </c>
      <c r="R50" s="56">
        <v>34.0</v>
      </c>
      <c r="S50" s="57">
        <v>1.14</v>
      </c>
      <c r="T50" s="57">
        <v>19.0</v>
      </c>
      <c r="U50" s="57">
        <v>85.72</v>
      </c>
      <c r="V50" s="56">
        <v>300000.0</v>
      </c>
      <c r="W50" s="56">
        <v>0.0</v>
      </c>
      <c r="X50" s="56">
        <v>0.0</v>
      </c>
      <c r="Y50" s="56">
        <v>100.0</v>
      </c>
      <c r="Z50" s="56">
        <v>0.0</v>
      </c>
      <c r="AA50" s="56">
        <v>0.0</v>
      </c>
      <c r="AB50" s="56">
        <v>233158.0</v>
      </c>
      <c r="AC50" s="56">
        <v>7293.0</v>
      </c>
      <c r="AD50" s="58" t="s">
        <v>74</v>
      </c>
      <c r="AE50" s="58" t="s">
        <v>75</v>
      </c>
      <c r="AF50" s="58" t="s">
        <v>117</v>
      </c>
    </row>
    <row r="51" ht="17.25" customHeight="1">
      <c r="A51" s="22"/>
      <c r="B51" s="22"/>
      <c r="C51" s="22"/>
      <c r="D51" s="22"/>
      <c r="E51" s="32">
        <v>299896.0</v>
      </c>
      <c r="F51" s="32">
        <v>104.0</v>
      </c>
      <c r="G51" s="32">
        <v>0.0</v>
      </c>
      <c r="H51" s="32">
        <v>1000.0</v>
      </c>
      <c r="I51" s="22"/>
      <c r="J51" s="32">
        <v>1078.0</v>
      </c>
      <c r="K51" s="32">
        <v>30309.0</v>
      </c>
      <c r="L51" s="32">
        <v>3110.0</v>
      </c>
      <c r="M51" s="32">
        <v>1.0</v>
      </c>
      <c r="N51" s="32">
        <v>1.0</v>
      </c>
      <c r="O51" s="32">
        <v>7416.0</v>
      </c>
      <c r="P51" s="32">
        <v>15363.0</v>
      </c>
      <c r="Q51" s="32">
        <v>1548.0</v>
      </c>
      <c r="R51" s="32">
        <v>14.0</v>
      </c>
      <c r="S51" s="21">
        <v>2.32</v>
      </c>
      <c r="T51" s="21">
        <v>38.0</v>
      </c>
      <c r="U51" s="21">
        <v>81.67</v>
      </c>
      <c r="V51" s="32">
        <v>300000.0</v>
      </c>
      <c r="W51" s="32">
        <v>0.0</v>
      </c>
      <c r="X51" s="32">
        <v>0.0</v>
      </c>
      <c r="Y51" s="32">
        <v>100.0</v>
      </c>
      <c r="Z51" s="32">
        <v>0.0</v>
      </c>
      <c r="AA51" s="32">
        <v>0.0</v>
      </c>
      <c r="AB51" s="32">
        <v>299976.0</v>
      </c>
      <c r="AC51" s="32">
        <v>80.0</v>
      </c>
      <c r="AD51" s="13" t="s">
        <v>54</v>
      </c>
      <c r="AE51" s="13" t="s">
        <v>54</v>
      </c>
      <c r="AF51" s="13" t="s">
        <v>118</v>
      </c>
    </row>
    <row r="52" ht="17.25" customHeight="1">
      <c r="A52" s="22"/>
      <c r="B52" s="22"/>
      <c r="C52" s="22"/>
      <c r="D52" s="22"/>
      <c r="E52" s="32">
        <v>300000.0</v>
      </c>
      <c r="F52" s="32">
        <v>0.0</v>
      </c>
      <c r="G52" s="32">
        <v>0.0</v>
      </c>
      <c r="H52" s="32">
        <v>1000.0</v>
      </c>
      <c r="I52" s="22"/>
      <c r="J52" s="32">
        <v>555.0</v>
      </c>
      <c r="K52" s="32">
        <v>13310.0</v>
      </c>
      <c r="L52" s="32">
        <v>1782.0</v>
      </c>
      <c r="M52" s="32">
        <v>1.0</v>
      </c>
      <c r="N52" s="32">
        <v>1.0</v>
      </c>
      <c r="O52" s="32">
        <v>4740.0</v>
      </c>
      <c r="P52" s="32">
        <v>9377.0</v>
      </c>
      <c r="Q52" s="32">
        <v>1232.0</v>
      </c>
      <c r="R52" s="32">
        <v>13.0</v>
      </c>
      <c r="S52" s="21">
        <v>2.37</v>
      </c>
      <c r="T52" s="21">
        <v>39.0</v>
      </c>
      <c r="U52" s="21">
        <v>77.9</v>
      </c>
      <c r="V52" s="32">
        <v>300000.0</v>
      </c>
      <c r="W52" s="32">
        <v>0.0</v>
      </c>
      <c r="X52" s="32">
        <v>0.0</v>
      </c>
      <c r="Y52" s="32">
        <v>100.0</v>
      </c>
      <c r="Z52" s="32">
        <v>0.0</v>
      </c>
      <c r="AA52" s="32">
        <v>0.0</v>
      </c>
      <c r="AB52" s="32">
        <v>300078.0</v>
      </c>
      <c r="AC52" s="32">
        <v>78.0</v>
      </c>
      <c r="AD52" s="13" t="s">
        <v>54</v>
      </c>
      <c r="AE52" s="13" t="s">
        <v>54</v>
      </c>
      <c r="AF52" s="13" t="s">
        <v>119</v>
      </c>
    </row>
    <row r="53" ht="17.25" customHeight="1">
      <c r="A53" s="22"/>
      <c r="B53" s="22"/>
      <c r="C53" s="22"/>
      <c r="D53" s="22"/>
      <c r="E53" s="32">
        <v>300000.0</v>
      </c>
      <c r="F53" s="32">
        <v>0.0</v>
      </c>
      <c r="G53" s="32">
        <v>0.0</v>
      </c>
      <c r="H53" s="32">
        <v>1000.0</v>
      </c>
      <c r="I53" s="22"/>
      <c r="J53" s="32">
        <v>703.0</v>
      </c>
      <c r="K53" s="32">
        <v>18206.0</v>
      </c>
      <c r="L53" s="32">
        <v>2103.0</v>
      </c>
      <c r="M53" s="32">
        <v>1.0</v>
      </c>
      <c r="N53" s="32">
        <v>1.0</v>
      </c>
      <c r="O53" s="32">
        <v>5022.0</v>
      </c>
      <c r="P53" s="32">
        <v>11055.0</v>
      </c>
      <c r="Q53" s="32">
        <v>1044.0</v>
      </c>
      <c r="R53" s="32">
        <v>12.0</v>
      </c>
      <c r="S53" s="21">
        <v>2.3</v>
      </c>
      <c r="T53" s="21">
        <v>38.0</v>
      </c>
      <c r="U53" s="21">
        <v>80.25</v>
      </c>
      <c r="V53" s="32">
        <v>300000.0</v>
      </c>
      <c r="W53" s="32">
        <v>0.0</v>
      </c>
      <c r="X53" s="32">
        <v>0.0</v>
      </c>
      <c r="Y53" s="32">
        <v>100.0</v>
      </c>
      <c r="Z53" s="32">
        <v>0.0</v>
      </c>
      <c r="AA53" s="32">
        <v>0.0</v>
      </c>
      <c r="AB53" s="32">
        <v>300078.0</v>
      </c>
      <c r="AC53" s="32">
        <v>78.0</v>
      </c>
      <c r="AD53" s="13" t="s">
        <v>54</v>
      </c>
      <c r="AE53" s="13" t="s">
        <v>54</v>
      </c>
      <c r="AF53" s="13" t="s">
        <v>120</v>
      </c>
    </row>
    <row r="54" ht="17.25" customHeight="1">
      <c r="A54" s="22"/>
      <c r="B54" s="22"/>
      <c r="C54" s="22"/>
      <c r="D54" s="22"/>
      <c r="E54" s="32">
        <v>300000.0</v>
      </c>
      <c r="F54" s="32">
        <v>0.0</v>
      </c>
      <c r="G54" s="32">
        <v>0.0</v>
      </c>
      <c r="H54" s="32">
        <v>1000.0</v>
      </c>
      <c r="I54" s="22"/>
      <c r="J54" s="32">
        <v>700.0</v>
      </c>
      <c r="K54" s="32">
        <v>21295.0</v>
      </c>
      <c r="L54" s="32">
        <v>2079.0</v>
      </c>
      <c r="M54" s="32">
        <v>1.0</v>
      </c>
      <c r="N54" s="32">
        <v>1.0</v>
      </c>
      <c r="O54" s="32">
        <v>5479.0</v>
      </c>
      <c r="P54" s="32">
        <v>10378.0</v>
      </c>
      <c r="Q54" s="32">
        <v>627.0</v>
      </c>
      <c r="R54" s="32">
        <v>11.0</v>
      </c>
      <c r="S54" s="21">
        <v>2.38</v>
      </c>
      <c r="T54" s="21">
        <v>39.0</v>
      </c>
      <c r="U54" s="21">
        <v>75.39</v>
      </c>
      <c r="V54" s="32">
        <v>300000.0</v>
      </c>
      <c r="W54" s="32">
        <v>0.0</v>
      </c>
      <c r="X54" s="32">
        <v>0.0</v>
      </c>
      <c r="Y54" s="32">
        <v>100.0</v>
      </c>
      <c r="Z54" s="32">
        <v>0.0</v>
      </c>
      <c r="AA54" s="32">
        <v>0.0</v>
      </c>
      <c r="AB54" s="32">
        <v>300097.0</v>
      </c>
      <c r="AC54" s="32">
        <v>97.0</v>
      </c>
      <c r="AD54" s="13" t="s">
        <v>54</v>
      </c>
      <c r="AE54" s="13" t="s">
        <v>54</v>
      </c>
      <c r="AF54" s="13" t="s">
        <v>121</v>
      </c>
    </row>
    <row r="55" ht="17.25" customHeight="1">
      <c r="A55" s="28"/>
      <c r="B55" s="28"/>
      <c r="C55" s="28"/>
      <c r="D55" s="28"/>
      <c r="E55" s="32">
        <v>300000.0</v>
      </c>
      <c r="F55" s="32">
        <v>0.0</v>
      </c>
      <c r="G55" s="32">
        <v>0.0</v>
      </c>
      <c r="H55" s="32">
        <v>1000.0</v>
      </c>
      <c r="I55" s="28"/>
      <c r="J55" s="32">
        <v>875.0</v>
      </c>
      <c r="K55" s="32">
        <v>25598.0</v>
      </c>
      <c r="L55" s="32">
        <v>2605.0</v>
      </c>
      <c r="M55" s="32">
        <v>1.0</v>
      </c>
      <c r="N55" s="32">
        <v>1.0</v>
      </c>
      <c r="O55" s="32">
        <v>5906.0</v>
      </c>
      <c r="P55" s="32">
        <v>13156.0</v>
      </c>
      <c r="Q55" s="32">
        <v>624.0</v>
      </c>
      <c r="R55" s="32">
        <v>12.0</v>
      </c>
      <c r="S55" s="21">
        <v>2.36</v>
      </c>
      <c r="T55" s="21">
        <v>39.0</v>
      </c>
      <c r="U55" s="21">
        <v>77.83</v>
      </c>
      <c r="V55" s="32">
        <v>300000.0</v>
      </c>
      <c r="W55" s="32">
        <v>0.0</v>
      </c>
      <c r="X55" s="32">
        <v>0.0</v>
      </c>
      <c r="Y55" s="32">
        <v>100.0</v>
      </c>
      <c r="Z55" s="32">
        <v>0.0</v>
      </c>
      <c r="AA55" s="32">
        <v>0.0</v>
      </c>
      <c r="AB55" s="32">
        <v>300078.0</v>
      </c>
      <c r="AC55" s="32">
        <v>78.0</v>
      </c>
      <c r="AD55" s="13" t="s">
        <v>54</v>
      </c>
      <c r="AE55" s="13" t="s">
        <v>54</v>
      </c>
      <c r="AF55" s="13" t="s">
        <v>122</v>
      </c>
    </row>
    <row r="56" ht="17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</row>
    <row r="57" ht="17.25" customHeight="1">
      <c r="A57" s="69" t="s">
        <v>123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</row>
    <row r="58" ht="17.25" customHeight="1">
      <c r="A58" s="70" t="s">
        <v>124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</row>
    <row r="59" ht="17.25" customHeight="1">
      <c r="A59" s="70" t="s">
        <v>125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</row>
    <row r="60" ht="17.25" customHeight="1">
      <c r="A60" s="70" t="s">
        <v>126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</row>
    <row r="61" ht="17.25" customHeight="1">
      <c r="A61" s="70" t="s">
        <v>127</v>
      </c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</row>
    <row r="62" ht="17.25" customHeight="1">
      <c r="A62" s="70" t="s">
        <v>128</v>
      </c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</row>
    <row r="63" ht="17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</row>
    <row r="64" ht="17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</row>
    <row r="65" ht="17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</row>
    <row r="66" ht="17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</row>
    <row r="67" ht="17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</row>
    <row r="68" ht="17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</row>
    <row r="69" ht="17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</row>
    <row r="70" ht="17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</row>
    <row r="71" ht="17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</row>
    <row r="72" ht="17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</row>
    <row r="73" ht="17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</row>
    <row r="74" ht="17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</row>
    <row r="75" ht="17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</row>
    <row r="76" ht="17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</row>
    <row r="77" ht="17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</row>
    <row r="78" ht="17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</row>
    <row r="79" ht="17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</row>
    <row r="80" ht="17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</row>
    <row r="81" ht="17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</row>
    <row r="82" ht="17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</row>
    <row r="83" ht="17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</row>
    <row r="84" ht="17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</row>
    <row r="85" ht="17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</row>
    <row r="86" ht="17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</row>
    <row r="87" ht="17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</row>
    <row r="88" ht="17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</row>
    <row r="89" ht="17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</row>
    <row r="90" ht="17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</row>
    <row r="91" ht="17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</row>
    <row r="92" ht="17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</row>
    <row r="93" ht="17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</row>
    <row r="94" ht="17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</row>
    <row r="95" ht="17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</row>
    <row r="96" ht="17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</row>
    <row r="97" ht="17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</row>
    <row r="98" ht="17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</row>
    <row r="99" ht="17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</row>
    <row r="100" ht="17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</row>
    <row r="101" ht="17.2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</row>
    <row r="102" ht="17.2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</row>
    <row r="103" ht="17.2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</row>
    <row r="104" ht="17.2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</row>
    <row r="105" ht="17.2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</row>
    <row r="106" ht="17.2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</row>
    <row r="107" ht="17.2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</row>
    <row r="108" ht="17.2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</row>
    <row r="109" ht="17.2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</row>
    <row r="110" ht="17.2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</row>
    <row r="111" ht="17.2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</row>
    <row r="112" ht="17.2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</row>
    <row r="113" ht="17.2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</row>
    <row r="114" ht="17.2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</row>
    <row r="115" ht="17.2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</row>
    <row r="116" ht="17.2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</row>
    <row r="117" ht="17.2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</row>
    <row r="118" ht="17.2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</row>
    <row r="119" ht="17.2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</row>
    <row r="120" ht="17.2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</row>
    <row r="121" ht="17.2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</row>
    <row r="122" ht="17.2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</row>
    <row r="123" ht="17.2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</row>
    <row r="124" ht="17.2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</row>
    <row r="125" ht="17.2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</row>
    <row r="126" ht="17.2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</row>
    <row r="127" ht="17.2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</row>
    <row r="128" ht="17.2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</row>
    <row r="129" ht="17.2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</row>
    <row r="130" ht="17.2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</row>
    <row r="131" ht="17.2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</row>
    <row r="132" ht="17.2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</row>
    <row r="133" ht="17.2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</row>
    <row r="134" ht="17.2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</row>
    <row r="135" ht="17.2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</row>
    <row r="136" ht="17.2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</row>
    <row r="137" ht="17.2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</row>
    <row r="138" ht="17.2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</row>
    <row r="139" ht="17.2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</row>
    <row r="140" ht="17.2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</row>
    <row r="141" ht="17.2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</row>
    <row r="142" ht="17.2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</row>
    <row r="143" ht="17.2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</row>
    <row r="144" ht="17.2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</row>
    <row r="145" ht="17.2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</row>
    <row r="146" ht="17.2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</row>
    <row r="147" ht="17.2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</row>
    <row r="148" ht="17.2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</row>
    <row r="149" ht="17.2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</row>
    <row r="150" ht="17.2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</row>
    <row r="151" ht="17.2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</row>
    <row r="152" ht="17.2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</row>
    <row r="153" ht="17.2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</row>
    <row r="154" ht="17.2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</row>
    <row r="155" ht="17.2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</row>
    <row r="156" ht="17.2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</row>
    <row r="157" ht="17.2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</row>
    <row r="158" ht="17.2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</row>
    <row r="159" ht="17.2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</row>
    <row r="160" ht="17.2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</row>
    <row r="161" ht="17.2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</row>
    <row r="162" ht="17.2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</row>
    <row r="163" ht="17.2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</row>
    <row r="164" ht="17.2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</row>
    <row r="165" ht="17.2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</row>
    <row r="166" ht="17.2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</row>
    <row r="167" ht="17.2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</row>
    <row r="168" ht="17.2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</row>
    <row r="169" ht="17.2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</row>
    <row r="170" ht="17.2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</row>
    <row r="171" ht="17.2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</row>
    <row r="172" ht="17.2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</row>
    <row r="173" ht="17.2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</row>
    <row r="174" ht="17.2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</row>
    <row r="175" ht="17.2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</row>
    <row r="176" ht="17.2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</row>
    <row r="177" ht="17.2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</row>
    <row r="178" ht="17.2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</row>
    <row r="179" ht="17.2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</row>
    <row r="180" ht="17.2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</row>
    <row r="181" ht="17.2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</row>
    <row r="182" ht="17.2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</row>
    <row r="183" ht="17.2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</row>
    <row r="184" ht="17.2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</row>
    <row r="185" ht="17.2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</row>
    <row r="186" ht="17.2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</row>
    <row r="187" ht="17.2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</row>
    <row r="188" ht="17.2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</row>
    <row r="189" ht="17.2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</row>
    <row r="190" ht="17.2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</row>
    <row r="191" ht="17.2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</row>
    <row r="192" ht="17.2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</row>
    <row r="193" ht="17.2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</row>
    <row r="194" ht="17.2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</row>
    <row r="195" ht="17.2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</row>
    <row r="196" ht="17.2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</row>
    <row r="197" ht="17.2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</row>
    <row r="198" ht="17.2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</row>
    <row r="199" ht="17.2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</row>
    <row r="200" ht="17.2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</row>
    <row r="201" ht="17.2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</row>
    <row r="202" ht="17.2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</row>
    <row r="203" ht="17.2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</row>
    <row r="204" ht="17.2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</row>
    <row r="205" ht="17.2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</row>
    <row r="206" ht="17.2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</row>
    <row r="207" ht="17.2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</row>
    <row r="208" ht="17.2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</row>
    <row r="209" ht="17.2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</row>
    <row r="210" ht="17.2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</row>
    <row r="211" ht="17.2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</row>
    <row r="212" ht="17.2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</row>
    <row r="213" ht="17.2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</row>
    <row r="214" ht="17.2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</row>
    <row r="215" ht="17.2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</row>
    <row r="216" ht="17.2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</row>
    <row r="217" ht="17.2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</row>
    <row r="218" ht="17.2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</row>
    <row r="219" ht="17.2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</row>
    <row r="220" ht="17.2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</row>
    <row r="221" ht="17.2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</row>
    <row r="222" ht="17.2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</row>
    <row r="223" ht="17.2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</row>
    <row r="224" ht="17.2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</row>
    <row r="225" ht="17.2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</row>
    <row r="226" ht="17.2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</row>
    <row r="227" ht="17.2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</row>
    <row r="228" ht="17.2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</row>
    <row r="229" ht="17.2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</row>
    <row r="230" ht="17.2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</row>
    <row r="231" ht="17.2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</row>
    <row r="232" ht="17.2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</row>
    <row r="233" ht="17.2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</row>
    <row r="234" ht="17.2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</row>
    <row r="235" ht="17.2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</row>
    <row r="236" ht="17.2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</row>
    <row r="237" ht="17.2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</row>
    <row r="238" ht="17.2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</row>
    <row r="239" ht="17.2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</row>
    <row r="240" ht="17.2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</row>
    <row r="241" ht="17.2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</row>
    <row r="242" ht="17.2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</row>
    <row r="243" ht="17.2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</row>
    <row r="244" ht="17.2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</row>
    <row r="245" ht="17.2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</row>
    <row r="246" ht="17.2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</row>
    <row r="247" ht="17.2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</row>
    <row r="248" ht="17.2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</row>
    <row r="249" ht="17.2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</row>
    <row r="250" ht="17.2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</row>
    <row r="251" ht="17.2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</row>
    <row r="252" ht="17.2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</row>
    <row r="253" ht="17.2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</row>
    <row r="254" ht="17.2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</row>
    <row r="255" ht="17.2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</row>
    <row r="256" ht="17.2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</row>
    <row r="257" ht="17.2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</row>
    <row r="258" ht="17.2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</row>
    <row r="259" ht="17.2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</row>
    <row r="260" ht="17.2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</row>
    <row r="261" ht="17.2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</row>
    <row r="262" ht="17.2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</row>
    <row r="263" ht="17.2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</row>
    <row r="264" ht="17.2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</row>
    <row r="265" ht="17.2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</row>
    <row r="266" ht="17.2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</row>
    <row r="267" ht="17.2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</row>
    <row r="268" ht="17.2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</row>
    <row r="269" ht="17.2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</row>
    <row r="270" ht="17.2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</row>
    <row r="271" ht="17.2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</row>
    <row r="272" ht="17.2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</row>
    <row r="273" ht="17.2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</row>
    <row r="274" ht="17.2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</row>
    <row r="275" ht="17.2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</row>
    <row r="276" ht="17.2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</row>
    <row r="277" ht="17.2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</row>
    <row r="278" ht="17.2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</row>
    <row r="279" ht="17.2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</row>
    <row r="280" ht="17.2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</row>
    <row r="281" ht="17.2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</row>
    <row r="282" ht="17.2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</row>
    <row r="283" ht="17.2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</row>
    <row r="284" ht="17.2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</row>
    <row r="285" ht="17.2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</row>
    <row r="286" ht="17.2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</row>
    <row r="287" ht="17.2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</row>
    <row r="288" ht="17.2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</row>
    <row r="289" ht="17.2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</row>
    <row r="290" ht="17.2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</row>
    <row r="291" ht="17.2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</row>
    <row r="292" ht="17.2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</row>
    <row r="293" ht="17.2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</row>
    <row r="294" ht="17.2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</row>
    <row r="295" ht="17.2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</row>
    <row r="296" ht="17.2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</row>
    <row r="297" ht="17.2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</row>
    <row r="298" ht="17.2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</row>
    <row r="299" ht="17.2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</row>
    <row r="300" ht="17.2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</row>
    <row r="301" ht="17.2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</row>
    <row r="302" ht="17.2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</row>
    <row r="303" ht="17.2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</row>
    <row r="304" ht="17.2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</row>
    <row r="305" ht="17.2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</row>
    <row r="306" ht="17.2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</row>
    <row r="307" ht="17.2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</row>
    <row r="308" ht="17.2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</row>
    <row r="309" ht="17.2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</row>
    <row r="310" ht="17.2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</row>
    <row r="311" ht="17.2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</row>
    <row r="312" ht="17.2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</row>
    <row r="313" ht="17.2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</row>
    <row r="314" ht="17.2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</row>
    <row r="315" ht="17.2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</row>
    <row r="316" ht="17.2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</row>
    <row r="317" ht="17.2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</row>
    <row r="318" ht="17.2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</row>
    <row r="319" ht="17.2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</row>
    <row r="320" ht="17.2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</row>
    <row r="321" ht="17.2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</row>
    <row r="322" ht="17.2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</row>
    <row r="323" ht="17.2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</row>
    <row r="324" ht="17.2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</row>
    <row r="325" ht="17.2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</row>
    <row r="326" ht="17.2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</row>
    <row r="327" ht="17.2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</row>
    <row r="328" ht="17.2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</row>
    <row r="329" ht="17.2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</row>
    <row r="330" ht="17.2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</row>
    <row r="331" ht="17.2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</row>
    <row r="332" ht="17.2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</row>
    <row r="333" ht="17.2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</row>
    <row r="334" ht="17.2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</row>
    <row r="335" ht="17.2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</row>
    <row r="336" ht="17.2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</row>
    <row r="337" ht="17.2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</row>
    <row r="338" ht="17.2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</row>
    <row r="339" ht="17.2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</row>
    <row r="340" ht="17.2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</row>
    <row r="341" ht="17.2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</row>
    <row r="342" ht="17.2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</row>
    <row r="343" ht="17.2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</row>
    <row r="344" ht="17.2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</row>
    <row r="345" ht="17.2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</row>
    <row r="346" ht="17.2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</row>
    <row r="347" ht="17.2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</row>
    <row r="348" ht="17.2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</row>
    <row r="349" ht="17.2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</row>
    <row r="350" ht="17.2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</row>
    <row r="351" ht="17.2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</row>
    <row r="352" ht="17.2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</row>
    <row r="353" ht="17.2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</row>
    <row r="354" ht="17.2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</row>
    <row r="355" ht="17.2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</row>
    <row r="356" ht="17.2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</row>
    <row r="357" ht="17.2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</row>
    <row r="358" ht="17.2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</row>
    <row r="359" ht="17.2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</row>
    <row r="360" ht="17.2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</row>
    <row r="361" ht="17.2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</row>
    <row r="362" ht="17.2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</row>
    <row r="363" ht="17.2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</row>
    <row r="364" ht="17.2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</row>
    <row r="365" ht="17.2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</row>
    <row r="366" ht="17.2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</row>
    <row r="367" ht="17.2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</row>
    <row r="368" ht="17.2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</row>
    <row r="369" ht="17.2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</row>
    <row r="370" ht="17.2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</row>
    <row r="371" ht="17.2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</row>
    <row r="372" ht="17.2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</row>
    <row r="373" ht="17.2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</row>
    <row r="374" ht="17.2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</row>
    <row r="375" ht="17.2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</row>
    <row r="376" ht="17.2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</row>
    <row r="377" ht="17.2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</row>
    <row r="378" ht="17.2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</row>
    <row r="379" ht="17.2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</row>
    <row r="380" ht="17.2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</row>
    <row r="381" ht="17.2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</row>
    <row r="382" ht="17.2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</row>
    <row r="383" ht="17.2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</row>
    <row r="384" ht="17.2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</row>
    <row r="385" ht="17.2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</row>
    <row r="386" ht="17.2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</row>
    <row r="387" ht="17.2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</row>
    <row r="388" ht="17.2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</row>
    <row r="389" ht="17.2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</row>
    <row r="390" ht="17.2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</row>
    <row r="391" ht="17.2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</row>
    <row r="392" ht="17.2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</row>
    <row r="393" ht="17.2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</row>
    <row r="394" ht="17.2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</row>
    <row r="395" ht="17.2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</row>
    <row r="396" ht="17.2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</row>
    <row r="397" ht="17.2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</row>
    <row r="398" ht="17.2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</row>
    <row r="399" ht="17.2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</row>
    <row r="400" ht="17.2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</row>
    <row r="401" ht="17.2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</row>
    <row r="402" ht="17.2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</row>
    <row r="403" ht="17.2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</row>
    <row r="404" ht="17.2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</row>
    <row r="405" ht="17.2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</row>
    <row r="406" ht="17.2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</row>
    <row r="407" ht="17.2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</row>
    <row r="408" ht="17.2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</row>
    <row r="409" ht="17.2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</row>
    <row r="410" ht="17.2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</row>
    <row r="411" ht="17.2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</row>
    <row r="412" ht="17.2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</row>
    <row r="413" ht="17.2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</row>
    <row r="414" ht="17.2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</row>
    <row r="415" ht="17.2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</row>
    <row r="416" ht="17.2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</row>
    <row r="417" ht="17.2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</row>
    <row r="418" ht="17.2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</row>
    <row r="419" ht="17.2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</row>
    <row r="420" ht="17.2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</row>
    <row r="421" ht="17.2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</row>
    <row r="422" ht="17.2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</row>
    <row r="423" ht="17.2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</row>
    <row r="424" ht="17.2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</row>
    <row r="425" ht="17.2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</row>
    <row r="426" ht="17.2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</row>
    <row r="427" ht="17.2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</row>
    <row r="428" ht="17.2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</row>
    <row r="429" ht="17.2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</row>
    <row r="430" ht="17.2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</row>
    <row r="431" ht="17.2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</row>
    <row r="432" ht="17.2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</row>
    <row r="433" ht="17.2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</row>
    <row r="434" ht="17.2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</row>
    <row r="435" ht="17.2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</row>
    <row r="436" ht="17.2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</row>
    <row r="437" ht="17.2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</row>
    <row r="438" ht="17.2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</row>
    <row r="439" ht="17.2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</row>
    <row r="440" ht="17.2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</row>
    <row r="441" ht="17.2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</row>
    <row r="442" ht="17.2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</row>
    <row r="443" ht="17.2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</row>
    <row r="444" ht="17.2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</row>
    <row r="445" ht="17.2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</row>
    <row r="446" ht="17.2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</row>
    <row r="447" ht="17.2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</row>
    <row r="448" ht="17.2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</row>
    <row r="449" ht="17.2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</row>
    <row r="450" ht="17.2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</row>
    <row r="451" ht="17.2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</row>
    <row r="452" ht="17.2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</row>
    <row r="453" ht="17.2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</row>
    <row r="454" ht="17.2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</row>
    <row r="455" ht="17.2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</row>
    <row r="456" ht="17.2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</row>
    <row r="457" ht="17.2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</row>
    <row r="458" ht="17.2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</row>
    <row r="459" ht="17.2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</row>
    <row r="460" ht="17.2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</row>
    <row r="461" ht="17.2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</row>
    <row r="462" ht="17.2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</row>
    <row r="463" ht="17.2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</row>
    <row r="464" ht="17.2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</row>
    <row r="465" ht="17.2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</row>
    <row r="466" ht="17.2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</row>
    <row r="467" ht="17.2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</row>
    <row r="468" ht="17.2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</row>
    <row r="469" ht="17.2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</row>
    <row r="470" ht="17.2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</row>
    <row r="471" ht="17.2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</row>
    <row r="472" ht="17.2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</row>
    <row r="473" ht="17.2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</row>
    <row r="474" ht="17.2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</row>
    <row r="475" ht="17.2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</row>
    <row r="476" ht="17.2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</row>
    <row r="477" ht="17.2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</row>
    <row r="478" ht="17.2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</row>
    <row r="479" ht="17.2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</row>
    <row r="480" ht="17.2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</row>
    <row r="481" ht="17.2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</row>
    <row r="482" ht="17.2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</row>
    <row r="483" ht="17.2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</row>
    <row r="484" ht="17.2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</row>
    <row r="485" ht="17.2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</row>
    <row r="486" ht="17.2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</row>
    <row r="487" ht="17.2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</row>
    <row r="488" ht="17.2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</row>
    <row r="489" ht="17.2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</row>
    <row r="490" ht="17.2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</row>
    <row r="491" ht="17.2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</row>
    <row r="492" ht="17.2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</row>
    <row r="493" ht="17.2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</row>
    <row r="494" ht="17.2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</row>
    <row r="495" ht="17.2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</row>
    <row r="496" ht="17.2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</row>
    <row r="497" ht="17.2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</row>
    <row r="498" ht="17.2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</row>
    <row r="499" ht="17.2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</row>
    <row r="500" ht="17.2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</row>
    <row r="501" ht="17.2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</row>
    <row r="502" ht="17.2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</row>
    <row r="503" ht="17.2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</row>
    <row r="504" ht="17.2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</row>
    <row r="505" ht="17.2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</row>
    <row r="506" ht="17.2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</row>
    <row r="507" ht="17.2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</row>
    <row r="508" ht="17.2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</row>
    <row r="509" ht="17.2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</row>
    <row r="510" ht="17.2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</row>
    <row r="511" ht="17.2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</row>
    <row r="512" ht="17.2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</row>
    <row r="513" ht="17.2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</row>
    <row r="514" ht="17.2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</row>
    <row r="515" ht="17.2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</row>
    <row r="516" ht="17.2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</row>
    <row r="517" ht="17.2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</row>
    <row r="518" ht="17.2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</row>
    <row r="519" ht="17.2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</row>
    <row r="520" ht="17.2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</row>
    <row r="521" ht="17.2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</row>
    <row r="522" ht="17.2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</row>
    <row r="523" ht="17.2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</row>
    <row r="524" ht="17.2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</row>
    <row r="525" ht="17.2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</row>
    <row r="526" ht="17.2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</row>
    <row r="527" ht="17.2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</row>
    <row r="528" ht="17.2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</row>
    <row r="529" ht="17.2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</row>
    <row r="530" ht="17.2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</row>
    <row r="531" ht="17.2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</row>
    <row r="532" ht="17.2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</row>
    <row r="533" ht="17.2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</row>
    <row r="534" ht="17.2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</row>
    <row r="535" ht="17.2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</row>
    <row r="536" ht="17.2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</row>
    <row r="537" ht="17.2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</row>
    <row r="538" ht="17.2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</row>
    <row r="539" ht="17.2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</row>
    <row r="540" ht="17.2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</row>
    <row r="541" ht="17.2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</row>
    <row r="542" ht="17.2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</row>
    <row r="543" ht="17.2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</row>
    <row r="544" ht="17.2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</row>
    <row r="545" ht="17.2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</row>
    <row r="546" ht="17.2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</row>
    <row r="547" ht="17.2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</row>
    <row r="548" ht="17.2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</row>
    <row r="549" ht="17.2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</row>
    <row r="550" ht="17.2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</row>
    <row r="551" ht="17.2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</row>
    <row r="552" ht="17.2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</row>
    <row r="553" ht="17.2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</row>
    <row r="554" ht="17.2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</row>
    <row r="555" ht="17.2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</row>
    <row r="556" ht="17.2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</row>
    <row r="557" ht="17.2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</row>
    <row r="558" ht="17.2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</row>
    <row r="559" ht="17.2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</row>
    <row r="560" ht="17.2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</row>
    <row r="561" ht="17.2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</row>
    <row r="562" ht="17.2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</row>
    <row r="563" ht="17.2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</row>
    <row r="564" ht="17.2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</row>
    <row r="565" ht="17.2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</row>
    <row r="566" ht="17.2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</row>
    <row r="567" ht="17.2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</row>
    <row r="568" ht="17.2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</row>
    <row r="569" ht="17.2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</row>
    <row r="570" ht="17.2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</row>
    <row r="571" ht="17.2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</row>
    <row r="572" ht="17.2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</row>
    <row r="573" ht="17.2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</row>
    <row r="574" ht="17.2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</row>
    <row r="575" ht="17.2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</row>
    <row r="576" ht="17.2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</row>
    <row r="577" ht="17.2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</row>
    <row r="578" ht="17.2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</row>
    <row r="579" ht="17.2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</row>
    <row r="580" ht="17.2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</row>
    <row r="581" ht="17.2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</row>
    <row r="582" ht="17.2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</row>
    <row r="583" ht="17.2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</row>
    <row r="584" ht="17.2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</row>
    <row r="585" ht="17.2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</row>
    <row r="586" ht="17.2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</row>
    <row r="587" ht="17.2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</row>
    <row r="588" ht="17.2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</row>
    <row r="589" ht="17.2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</row>
    <row r="590" ht="17.2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</row>
    <row r="591" ht="17.2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</row>
    <row r="592" ht="17.2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</row>
    <row r="593" ht="17.2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</row>
    <row r="594" ht="17.2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</row>
    <row r="595" ht="17.2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</row>
    <row r="596" ht="17.2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</row>
    <row r="597" ht="17.2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</row>
    <row r="598" ht="17.2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</row>
    <row r="599" ht="17.2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</row>
    <row r="600" ht="17.2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</row>
    <row r="601" ht="17.2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</row>
    <row r="602" ht="17.2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</row>
    <row r="603" ht="17.2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</row>
    <row r="604" ht="17.2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</row>
    <row r="605" ht="17.2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</row>
    <row r="606" ht="17.2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</row>
    <row r="607" ht="17.2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</row>
    <row r="608" ht="17.2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</row>
    <row r="609" ht="17.2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</row>
    <row r="610" ht="17.2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</row>
    <row r="611" ht="17.2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</row>
    <row r="612" ht="17.2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</row>
    <row r="613" ht="17.2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</row>
    <row r="614" ht="17.2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</row>
    <row r="615" ht="17.2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</row>
    <row r="616" ht="17.2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</row>
    <row r="617" ht="17.2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</row>
    <row r="618" ht="17.2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</row>
    <row r="619" ht="17.2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</row>
    <row r="620" ht="17.2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</row>
    <row r="621" ht="17.2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</row>
    <row r="622" ht="17.2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</row>
    <row r="623" ht="17.2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</row>
    <row r="624" ht="17.2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</row>
    <row r="625" ht="17.2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</row>
    <row r="626" ht="17.2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</row>
    <row r="627" ht="17.2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</row>
    <row r="628" ht="17.2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</row>
    <row r="629" ht="17.2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</row>
    <row r="630" ht="17.2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</row>
    <row r="631" ht="17.2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</row>
    <row r="632" ht="17.2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</row>
    <row r="633" ht="17.2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</row>
    <row r="634" ht="17.2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</row>
    <row r="635" ht="17.2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</row>
    <row r="636" ht="17.2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</row>
    <row r="637" ht="17.2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</row>
    <row r="638" ht="17.2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</row>
    <row r="639" ht="17.2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</row>
    <row r="640" ht="17.2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</row>
    <row r="641" ht="17.2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</row>
    <row r="642" ht="17.2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</row>
    <row r="643" ht="17.2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</row>
    <row r="644" ht="17.2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</row>
    <row r="645" ht="17.2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</row>
    <row r="646" ht="17.2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</row>
    <row r="647" ht="17.2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</row>
    <row r="648" ht="17.2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</row>
    <row r="649" ht="17.2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</row>
    <row r="650" ht="17.2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</row>
    <row r="651" ht="17.2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</row>
    <row r="652" ht="17.2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</row>
    <row r="653" ht="17.2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</row>
    <row r="654" ht="17.2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</row>
    <row r="655" ht="17.2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</row>
    <row r="656" ht="17.2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</row>
    <row r="657" ht="17.2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</row>
    <row r="658" ht="17.2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</row>
    <row r="659" ht="17.2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</row>
    <row r="660" ht="17.2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</row>
    <row r="661" ht="17.2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</row>
    <row r="662" ht="17.2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</row>
    <row r="663" ht="17.2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</row>
    <row r="664" ht="17.2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</row>
    <row r="665" ht="17.2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</row>
    <row r="666" ht="17.2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</row>
    <row r="667" ht="17.2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</row>
    <row r="668" ht="17.2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</row>
    <row r="669" ht="17.2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</row>
    <row r="670" ht="17.2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</row>
    <row r="671" ht="17.2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</row>
    <row r="672" ht="17.2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</row>
    <row r="673" ht="17.2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</row>
    <row r="674" ht="17.2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</row>
    <row r="675" ht="17.2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</row>
    <row r="676" ht="17.2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</row>
    <row r="677" ht="17.2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</row>
    <row r="678" ht="17.2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</row>
    <row r="679" ht="17.2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</row>
    <row r="680" ht="17.2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</row>
    <row r="681" ht="17.2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</row>
    <row r="682" ht="17.2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</row>
    <row r="683" ht="17.2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</row>
    <row r="684" ht="17.2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</row>
    <row r="685" ht="17.2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</row>
    <row r="686" ht="17.2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</row>
    <row r="687" ht="17.2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</row>
    <row r="688" ht="17.2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</row>
    <row r="689" ht="17.2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</row>
    <row r="690" ht="17.2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</row>
    <row r="691" ht="17.2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</row>
    <row r="692" ht="17.2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</row>
    <row r="693" ht="17.2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</row>
    <row r="694" ht="17.2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</row>
    <row r="695" ht="17.2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</row>
    <row r="696" ht="17.2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</row>
    <row r="697" ht="17.2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</row>
    <row r="698" ht="17.2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</row>
    <row r="699" ht="17.2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</row>
    <row r="700" ht="17.2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</row>
    <row r="701" ht="17.2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</row>
    <row r="702" ht="17.2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</row>
    <row r="703" ht="17.2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</row>
    <row r="704" ht="17.2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</row>
    <row r="705" ht="17.2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</row>
    <row r="706" ht="17.2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</row>
    <row r="707" ht="17.2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</row>
    <row r="708" ht="17.2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</row>
    <row r="709" ht="17.2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</row>
    <row r="710" ht="17.2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</row>
    <row r="711" ht="17.2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</row>
    <row r="712" ht="17.2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</row>
    <row r="713" ht="17.2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</row>
    <row r="714" ht="17.2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</row>
    <row r="715" ht="17.2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</row>
    <row r="716" ht="17.2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</row>
    <row r="717" ht="17.2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</row>
    <row r="718" ht="17.2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</row>
    <row r="719" ht="17.2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</row>
    <row r="720" ht="17.2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</row>
    <row r="721" ht="17.2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</row>
    <row r="722" ht="17.2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</row>
    <row r="723" ht="17.2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</row>
    <row r="724" ht="17.2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</row>
    <row r="725" ht="17.2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</row>
    <row r="726" ht="17.2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</row>
    <row r="727" ht="17.2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</row>
    <row r="728" ht="17.2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</row>
    <row r="729" ht="17.2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</row>
    <row r="730" ht="17.2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</row>
    <row r="731" ht="17.2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</row>
    <row r="732" ht="17.2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</row>
    <row r="733" ht="17.2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</row>
    <row r="734" ht="17.2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</row>
    <row r="735" ht="17.2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</row>
    <row r="736" ht="17.2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</row>
    <row r="737" ht="17.2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</row>
    <row r="738" ht="17.2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</row>
    <row r="739" ht="17.2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</row>
    <row r="740" ht="17.2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</row>
    <row r="741" ht="17.2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</row>
    <row r="742" ht="17.2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</row>
    <row r="743" ht="17.2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</row>
    <row r="744" ht="17.2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</row>
    <row r="745" ht="17.2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</row>
    <row r="746" ht="17.2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</row>
    <row r="747" ht="17.2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</row>
    <row r="748" ht="17.2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</row>
    <row r="749" ht="17.2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</row>
    <row r="750" ht="17.2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</row>
    <row r="751" ht="17.2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</row>
    <row r="752" ht="17.2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</row>
    <row r="753" ht="17.2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</row>
    <row r="754" ht="17.2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</row>
    <row r="755" ht="17.2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</row>
    <row r="756" ht="17.2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</row>
    <row r="757" ht="17.2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</row>
    <row r="758" ht="17.2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</row>
    <row r="759" ht="17.2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</row>
    <row r="760" ht="17.2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</row>
    <row r="761" ht="17.2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</row>
    <row r="762" ht="17.2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</row>
    <row r="763" ht="17.2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</row>
    <row r="764" ht="17.2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</row>
    <row r="765" ht="17.2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</row>
    <row r="766" ht="17.2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</row>
    <row r="767" ht="17.2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</row>
    <row r="768" ht="17.2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</row>
    <row r="769" ht="17.2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</row>
    <row r="770" ht="17.2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</row>
    <row r="771" ht="17.2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</row>
    <row r="772" ht="17.2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</row>
    <row r="773" ht="17.2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</row>
    <row r="774" ht="17.2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</row>
    <row r="775" ht="17.2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</row>
    <row r="776" ht="17.2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</row>
    <row r="777" ht="17.2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</row>
    <row r="778" ht="17.2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</row>
    <row r="779" ht="17.2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</row>
    <row r="780" ht="17.2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</row>
    <row r="781" ht="17.2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</row>
    <row r="782" ht="17.2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</row>
    <row r="783" ht="17.2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</row>
    <row r="784" ht="17.2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</row>
    <row r="785" ht="17.2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</row>
    <row r="786" ht="17.2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</row>
    <row r="787" ht="17.2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</row>
    <row r="788" ht="17.2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</row>
    <row r="789" ht="17.2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</row>
    <row r="790" ht="17.2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</row>
    <row r="791" ht="17.2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</row>
    <row r="792" ht="17.2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</row>
    <row r="793" ht="17.2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</row>
    <row r="794" ht="17.2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</row>
    <row r="795" ht="17.2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</row>
    <row r="796" ht="17.2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</row>
    <row r="797" ht="17.2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</row>
    <row r="798" ht="17.2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</row>
    <row r="799" ht="17.2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</row>
    <row r="800" ht="17.2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</row>
    <row r="801" ht="17.2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</row>
    <row r="802" ht="17.2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</row>
    <row r="803" ht="17.2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</row>
    <row r="804" ht="17.2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</row>
    <row r="805" ht="17.2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</row>
    <row r="806" ht="17.2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</row>
    <row r="807" ht="17.2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</row>
    <row r="808" ht="17.2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</row>
    <row r="809" ht="17.2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</row>
    <row r="810" ht="17.2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</row>
    <row r="811" ht="17.2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</row>
    <row r="812" ht="17.2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</row>
    <row r="813" ht="17.2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</row>
    <row r="814" ht="17.2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</row>
    <row r="815" ht="17.2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</row>
    <row r="816" ht="17.2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</row>
    <row r="817" ht="17.2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</row>
    <row r="818" ht="17.2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</row>
    <row r="819" ht="17.2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</row>
    <row r="820" ht="17.2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</row>
    <row r="821" ht="17.2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</row>
    <row r="822" ht="17.2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</row>
    <row r="823" ht="17.2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</row>
    <row r="824" ht="17.2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</row>
    <row r="825" ht="17.2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</row>
    <row r="826" ht="17.2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</row>
    <row r="827" ht="17.2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</row>
    <row r="828" ht="17.2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</row>
    <row r="829" ht="17.2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</row>
    <row r="830" ht="17.2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</row>
    <row r="831" ht="17.2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</row>
    <row r="832" ht="17.2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</row>
    <row r="833" ht="17.2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</row>
    <row r="834" ht="17.2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</row>
    <row r="835" ht="17.2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</row>
    <row r="836" ht="17.2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</row>
    <row r="837" ht="17.2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</row>
    <row r="838" ht="17.2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</row>
    <row r="839" ht="17.2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</row>
    <row r="840" ht="17.2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</row>
    <row r="841" ht="17.2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</row>
    <row r="842" ht="17.2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</row>
    <row r="843" ht="17.2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</row>
    <row r="844" ht="17.2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</row>
    <row r="845" ht="17.2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</row>
    <row r="846" ht="17.2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</row>
    <row r="847" ht="17.2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</row>
    <row r="848" ht="17.2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</row>
    <row r="849" ht="17.2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</row>
    <row r="850" ht="17.2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</row>
    <row r="851" ht="17.2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</row>
    <row r="852" ht="17.2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</row>
    <row r="853" ht="17.2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</row>
    <row r="854" ht="17.2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</row>
    <row r="855" ht="17.2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</row>
    <row r="856" ht="17.2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</row>
    <row r="857" ht="17.2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</row>
    <row r="858" ht="17.2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</row>
    <row r="859" ht="17.2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</row>
    <row r="860" ht="17.2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</row>
    <row r="861" ht="17.2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</row>
    <row r="862" ht="17.2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</row>
    <row r="863" ht="17.2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</row>
    <row r="864" ht="17.2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</row>
    <row r="865" ht="17.2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</row>
    <row r="866" ht="17.2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</row>
    <row r="867" ht="17.2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</row>
    <row r="868" ht="17.2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</row>
    <row r="869" ht="17.2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</row>
    <row r="870" ht="17.2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</row>
    <row r="871" ht="17.2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</row>
    <row r="872" ht="17.2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</row>
    <row r="873" ht="17.2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</row>
    <row r="874" ht="17.2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</row>
    <row r="875" ht="17.2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</row>
    <row r="876" ht="17.2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</row>
    <row r="877" ht="17.2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</row>
    <row r="878" ht="17.2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</row>
    <row r="879" ht="17.2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</row>
    <row r="880" ht="17.2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</row>
    <row r="881" ht="17.2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</row>
    <row r="882" ht="17.2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</row>
    <row r="883" ht="17.2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</row>
    <row r="884" ht="17.2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</row>
    <row r="885" ht="17.2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</row>
    <row r="886" ht="17.2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</row>
    <row r="887" ht="17.2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</row>
    <row r="888" ht="17.2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</row>
    <row r="889" ht="17.2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</row>
    <row r="890" ht="17.2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</row>
    <row r="891" ht="17.2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</row>
    <row r="892" ht="17.2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</row>
    <row r="893" ht="17.2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</row>
    <row r="894" ht="17.2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</row>
    <row r="895" ht="17.2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</row>
    <row r="896" ht="17.2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</row>
    <row r="897" ht="17.2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</row>
    <row r="898" ht="17.2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</row>
    <row r="899" ht="17.2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</row>
    <row r="900" ht="17.2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</row>
    <row r="901" ht="17.2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</row>
    <row r="902" ht="17.2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</row>
    <row r="903" ht="17.2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</row>
    <row r="904" ht="17.2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</row>
    <row r="905" ht="17.2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</row>
    <row r="906" ht="17.2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</row>
    <row r="907" ht="17.2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</row>
    <row r="908" ht="17.2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</row>
    <row r="909" ht="17.2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</row>
    <row r="910" ht="17.2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</row>
    <row r="911" ht="17.2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</row>
    <row r="912" ht="17.2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</row>
    <row r="913" ht="17.2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</row>
    <row r="914" ht="17.2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</row>
    <row r="915" ht="17.2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</row>
    <row r="916" ht="17.2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</row>
    <row r="917" ht="17.2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</row>
    <row r="918" ht="17.2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</row>
    <row r="919" ht="17.2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</row>
    <row r="920" ht="17.2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</row>
    <row r="921" ht="17.2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</row>
    <row r="922" ht="17.2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</row>
    <row r="923" ht="17.2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</row>
    <row r="924" ht="17.2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</row>
    <row r="925" ht="17.2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</row>
    <row r="926" ht="17.2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</row>
    <row r="927" ht="17.2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</row>
    <row r="928" ht="17.2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</row>
    <row r="929" ht="17.2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</row>
    <row r="930" ht="17.2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</row>
    <row r="931" ht="17.2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</row>
    <row r="932" ht="17.2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</row>
    <row r="933" ht="17.2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</row>
    <row r="934" ht="17.2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</row>
    <row r="935" ht="17.2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</row>
    <row r="936" ht="17.2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</row>
    <row r="937" ht="17.2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</row>
    <row r="938" ht="17.2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</row>
    <row r="939" ht="17.2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</row>
    <row r="940" ht="17.2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</row>
    <row r="941" ht="17.2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</row>
    <row r="942" ht="17.2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</row>
    <row r="943" ht="17.2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</row>
    <row r="944" ht="17.2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</row>
    <row r="945" ht="17.2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</row>
    <row r="946" ht="17.2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</row>
    <row r="947" ht="17.2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</row>
    <row r="948" ht="17.2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</row>
    <row r="949" ht="17.2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</row>
    <row r="950" ht="17.2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</row>
    <row r="951" ht="17.2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</row>
    <row r="952" ht="17.2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</row>
    <row r="953" ht="17.2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</row>
    <row r="954" ht="17.2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</row>
    <row r="955" ht="17.2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</row>
    <row r="956" ht="17.2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</row>
    <row r="957" ht="17.2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</row>
    <row r="958" ht="17.2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</row>
    <row r="959" ht="17.2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</row>
    <row r="960" ht="17.2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</row>
    <row r="961" ht="17.2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</row>
    <row r="962" ht="17.2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</row>
    <row r="963" ht="17.2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</row>
    <row r="964" ht="17.2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</row>
    <row r="965" ht="17.2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</row>
    <row r="966" ht="17.2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</row>
    <row r="967" ht="17.2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</row>
    <row r="968" ht="17.2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</row>
    <row r="969" ht="17.2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</row>
    <row r="970" ht="17.2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</row>
    <row r="971" ht="17.2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</row>
    <row r="972" ht="17.2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</row>
    <row r="973" ht="17.2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</row>
    <row r="974" ht="17.2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</row>
    <row r="975" ht="17.2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</row>
    <row r="976" ht="17.2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</row>
    <row r="977" ht="17.2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</row>
    <row r="978" ht="17.2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</row>
    <row r="979" ht="17.2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</row>
    <row r="980" ht="17.2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</row>
    <row r="981" ht="17.2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</row>
    <row r="982" ht="17.2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</row>
    <row r="983" ht="17.2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</row>
    <row r="984" ht="17.2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</row>
    <row r="985" ht="17.2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</row>
    <row r="986" ht="17.2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</row>
    <row r="987" ht="17.2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</row>
    <row r="988" ht="17.2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</row>
    <row r="989" ht="17.2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</row>
    <row r="990" ht="17.2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</row>
    <row r="991" ht="17.2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</row>
    <row r="992" ht="17.2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</row>
    <row r="993" ht="17.2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</row>
    <row r="994" ht="17.2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</row>
    <row r="995" ht="17.2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</row>
    <row r="996" ht="17.2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</row>
    <row r="997" ht="17.2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</row>
    <row r="998" ht="17.2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</row>
    <row r="999" ht="17.2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</row>
    <row r="1000" ht="17.2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</row>
  </sheetData>
  <autoFilter ref="$A$1:$AF$55"/>
  <mergeCells count="73">
    <mergeCell ref="D26:D31"/>
    <mergeCell ref="E26:E31"/>
    <mergeCell ref="F26:F31"/>
    <mergeCell ref="G26:G31"/>
    <mergeCell ref="H26:H31"/>
    <mergeCell ref="I26:I31"/>
    <mergeCell ref="B32:B37"/>
    <mergeCell ref="C32:C37"/>
    <mergeCell ref="I32:I37"/>
    <mergeCell ref="D32:D37"/>
    <mergeCell ref="D38:D43"/>
    <mergeCell ref="E38:E43"/>
    <mergeCell ref="F38:F43"/>
    <mergeCell ref="G38:G43"/>
    <mergeCell ref="H38:H43"/>
    <mergeCell ref="I38:I43"/>
    <mergeCell ref="B14:B19"/>
    <mergeCell ref="C14:C19"/>
    <mergeCell ref="A20:A37"/>
    <mergeCell ref="B20:B25"/>
    <mergeCell ref="C20:C25"/>
    <mergeCell ref="D20:D25"/>
    <mergeCell ref="E20:E25"/>
    <mergeCell ref="D44:D49"/>
    <mergeCell ref="E44:E49"/>
    <mergeCell ref="F44:F49"/>
    <mergeCell ref="G44:G49"/>
    <mergeCell ref="H44:H49"/>
    <mergeCell ref="I44:I49"/>
    <mergeCell ref="B50:B55"/>
    <mergeCell ref="C50:C55"/>
    <mergeCell ref="D50:D55"/>
    <mergeCell ref="I50:I55"/>
    <mergeCell ref="B26:B31"/>
    <mergeCell ref="C26:C31"/>
    <mergeCell ref="A38:A55"/>
    <mergeCell ref="B38:B43"/>
    <mergeCell ref="C38:C43"/>
    <mergeCell ref="B44:B49"/>
    <mergeCell ref="C44:C49"/>
    <mergeCell ref="H2:H7"/>
    <mergeCell ref="I2:I7"/>
    <mergeCell ref="N2:N7"/>
    <mergeCell ref="B8:B13"/>
    <mergeCell ref="C8:C13"/>
    <mergeCell ref="D8:D13"/>
    <mergeCell ref="E8:E13"/>
    <mergeCell ref="F8:F13"/>
    <mergeCell ref="G8:G13"/>
    <mergeCell ref="H8:H13"/>
    <mergeCell ref="I8:I13"/>
    <mergeCell ref="M8:M13"/>
    <mergeCell ref="N8:N13"/>
    <mergeCell ref="D14:D19"/>
    <mergeCell ref="I14:I19"/>
    <mergeCell ref="A2:A19"/>
    <mergeCell ref="B2:B7"/>
    <mergeCell ref="C2:C7"/>
    <mergeCell ref="D2:D7"/>
    <mergeCell ref="E2:E7"/>
    <mergeCell ref="F2:F7"/>
    <mergeCell ref="G2:G7"/>
    <mergeCell ref="N20:N25"/>
    <mergeCell ref="M26:M31"/>
    <mergeCell ref="N26:N31"/>
    <mergeCell ref="N38:N43"/>
    <mergeCell ref="F20:F25"/>
    <mergeCell ref="G20:G25"/>
    <mergeCell ref="H20:H25"/>
    <mergeCell ref="I20:I25"/>
    <mergeCell ref="J20:J25"/>
    <mergeCell ref="O20:O25"/>
    <mergeCell ref="P20:P2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5.29"/>
    <col customWidth="1" min="3" max="3" width="14.71"/>
    <col customWidth="1" min="4" max="4" width="20.0"/>
    <col customWidth="1" min="5" max="5" width="17.71"/>
    <col customWidth="1" min="6" max="6" width="9.86"/>
    <col customWidth="1" min="7" max="7" width="20.29"/>
    <col customWidth="1" min="8" max="8" width="25.43"/>
    <col customWidth="1" min="9" max="9" width="23.14"/>
    <col customWidth="1" min="10" max="10" width="14.0"/>
    <col customWidth="1" min="11" max="11" width="15.57"/>
    <col customWidth="1" min="12" max="12" width="20.86"/>
    <col customWidth="1" min="13" max="13" width="18.57"/>
    <col customWidth="1" min="14" max="14" width="10.0"/>
    <col customWidth="1" min="15" max="26" width="15.0"/>
  </cols>
  <sheetData>
    <row r="1" ht="42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6" t="s">
        <v>8</v>
      </c>
      <c r="G1" s="1" t="s">
        <v>13</v>
      </c>
      <c r="H1" s="1" t="s">
        <v>16</v>
      </c>
      <c r="I1" s="1" t="s">
        <v>18</v>
      </c>
      <c r="J1" s="10" t="s">
        <v>20</v>
      </c>
      <c r="K1" s="1" t="s">
        <v>22</v>
      </c>
      <c r="L1" s="1" t="s">
        <v>24</v>
      </c>
      <c r="M1" s="1" t="s">
        <v>27</v>
      </c>
      <c r="N1" s="10" t="s">
        <v>29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29.25" customHeight="1">
      <c r="A2" s="15">
        <v>100.0</v>
      </c>
      <c r="B2" s="16" t="s">
        <v>4</v>
      </c>
      <c r="C2" s="17">
        <f>AVERAGE('1. Raw Data'!O2:O7)</f>
        <v>2.333333333</v>
      </c>
      <c r="D2" s="19">
        <f>AVERAGE('1. Raw Data'!O20:O25)</f>
        <v>2</v>
      </c>
      <c r="E2" s="19">
        <f>AVERAGE('1. Raw Data'!O38:O43)</f>
        <v>2.166666667</v>
      </c>
      <c r="F2" s="24" t="s">
        <v>52</v>
      </c>
      <c r="G2" s="17">
        <f>STDEV('1. Raw Data'!O2:O7)</f>
        <v>0.5163977795</v>
      </c>
      <c r="H2" s="19" t="str">
        <f>STDEV('1. Raw Data'!O20:O25)</f>
        <v>#DIV/0!</v>
      </c>
      <c r="I2" s="19">
        <f>STDEV('1. Raw Data'!O38:O43)</f>
        <v>0.4082482905</v>
      </c>
      <c r="J2" s="24" t="s">
        <v>55</v>
      </c>
      <c r="K2" s="17">
        <f t="shared" ref="K2:M2" si="1">(G2/C2)*100</f>
        <v>22.13133341</v>
      </c>
      <c r="L2" s="19" t="str">
        <f t="shared" si="1"/>
        <v>#DIV/0!</v>
      </c>
      <c r="M2" s="19">
        <f t="shared" si="1"/>
        <v>18.84222879</v>
      </c>
      <c r="N2" s="29" t="s">
        <v>52</v>
      </c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29.25" customHeight="1">
      <c r="A3" s="22"/>
      <c r="B3" s="16" t="s">
        <v>33</v>
      </c>
      <c r="C3" s="19">
        <f>AVERAGE('1. Raw Data'!P2:P7)</f>
        <v>3.833333333</v>
      </c>
      <c r="D3" s="17">
        <f>AVERAGE('1. Raw Data'!P20:P25)</f>
        <v>4</v>
      </c>
      <c r="E3" s="19">
        <f>AVERAGE('1. Raw Data'!P38:P43)</f>
        <v>3.833333333</v>
      </c>
      <c r="F3" s="24" t="s">
        <v>51</v>
      </c>
      <c r="G3" s="19">
        <f>STDEV('1. Raw Data'!P2:P7)</f>
        <v>0.4082482905</v>
      </c>
      <c r="H3" s="19" t="str">
        <f>STDEV('1. Raw Data'!P20:P25)</f>
        <v>#DIV/0!</v>
      </c>
      <c r="I3" s="19">
        <f>STDEV('1. Raw Data'!P38:P43)</f>
        <v>0.4082482905</v>
      </c>
      <c r="J3" s="24" t="s">
        <v>51</v>
      </c>
      <c r="K3" s="19">
        <f t="shared" ref="K3:M3" si="2">(G3/C3)*100</f>
        <v>10.6499554</v>
      </c>
      <c r="L3" s="19" t="str">
        <f t="shared" si="2"/>
        <v>#DIV/0!</v>
      </c>
      <c r="M3" s="19">
        <f t="shared" si="2"/>
        <v>10.6499554</v>
      </c>
      <c r="N3" s="29" t="s">
        <v>52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29.25" customHeight="1">
      <c r="A4" s="22"/>
      <c r="B4" s="16" t="s">
        <v>35</v>
      </c>
      <c r="C4" s="17">
        <f>AVERAGE('1. Raw Data'!Q2:Q7)</f>
        <v>27.5</v>
      </c>
      <c r="D4" s="19">
        <f>AVERAGE('1. Raw Data'!Q20:Q25)</f>
        <v>20.66666667</v>
      </c>
      <c r="E4" s="19">
        <f>AVERAGE('1. Raw Data'!Q38:Q43)</f>
        <v>21.5</v>
      </c>
      <c r="F4" s="24" t="s">
        <v>52</v>
      </c>
      <c r="G4" s="19">
        <f>STDEV('1. Raw Data'!Q2:Q7)</f>
        <v>10.69111781</v>
      </c>
      <c r="H4" s="19">
        <f>STDEV('1. Raw Data'!Q20:Q25)</f>
        <v>12.45257671</v>
      </c>
      <c r="I4" s="17">
        <f>STDEV('1. Raw Data'!Q38:Q43)</f>
        <v>14.03923075</v>
      </c>
      <c r="J4" s="24" t="s">
        <v>14</v>
      </c>
      <c r="K4" s="19">
        <f t="shared" ref="K4:M4" si="3">(G4/C4)*100</f>
        <v>38.87679203</v>
      </c>
      <c r="L4" s="19">
        <f t="shared" si="3"/>
        <v>60.25440343</v>
      </c>
      <c r="M4" s="17">
        <f t="shared" si="3"/>
        <v>65.29874767</v>
      </c>
      <c r="N4" s="29" t="s">
        <v>14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9.25" customHeight="1">
      <c r="A5" s="28"/>
      <c r="B5" s="16" t="s">
        <v>36</v>
      </c>
      <c r="C5" s="17">
        <f>AVERAGE('1. Raw Data'!R2:R7)</f>
        <v>1.666666667</v>
      </c>
      <c r="D5" s="19">
        <f>AVERAGE('1. Raw Data'!R20:R25)</f>
        <v>1.333333333</v>
      </c>
      <c r="E5" s="19">
        <f>AVERAGE('1. Raw Data'!R38:R43)</f>
        <v>1.333333333</v>
      </c>
      <c r="F5" s="24" t="s">
        <v>51</v>
      </c>
      <c r="G5" s="19">
        <f>STDEV('1. Raw Data'!R2:R7)</f>
        <v>0.5163977795</v>
      </c>
      <c r="H5" s="19">
        <f>STDEV('1. Raw Data'!R20:R25)</f>
        <v>0.8164965809</v>
      </c>
      <c r="I5" s="19">
        <f>STDEV('1. Raw Data'!R38:R43)</f>
        <v>0.8164965809</v>
      </c>
      <c r="J5" s="24" t="s">
        <v>14</v>
      </c>
      <c r="K5" s="19">
        <f t="shared" ref="K5:M5" si="4">(G5/C5)*100</f>
        <v>30.98386677</v>
      </c>
      <c r="L5" s="19">
        <f t="shared" si="4"/>
        <v>61.23724357</v>
      </c>
      <c r="M5" s="19">
        <f t="shared" si="4"/>
        <v>61.23724357</v>
      </c>
      <c r="N5" s="29" t="s">
        <v>14</v>
      </c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9.25" customHeight="1">
      <c r="A6" s="42">
        <v>500.0</v>
      </c>
      <c r="B6" s="44" t="s">
        <v>4</v>
      </c>
      <c r="C6" s="45">
        <f>AVERAGE('1. Raw Data'!O8:O13)</f>
        <v>146.6666667</v>
      </c>
      <c r="D6" s="45">
        <f>AVERAGE('1. Raw Data'!O26:O31)</f>
        <v>436.5</v>
      </c>
      <c r="E6" s="46">
        <f>AVERAGE('1. Raw Data'!O44:O49)</f>
        <v>4483.666667</v>
      </c>
      <c r="F6" s="24" t="s">
        <v>14</v>
      </c>
      <c r="G6" s="45">
        <f>STDEV('1. Raw Data'!O8:O13)</f>
        <v>273.2351856</v>
      </c>
      <c r="H6" s="45">
        <f>STDEV('1. Raw Data'!O26:O31)</f>
        <v>824.9341186</v>
      </c>
      <c r="I6" s="46">
        <f>STDEV('1. Raw Data'!O44:O49)</f>
        <v>10456.12388</v>
      </c>
      <c r="J6" s="24" t="s">
        <v>14</v>
      </c>
      <c r="K6" s="45">
        <f t="shared" ref="K6:M6" si="5">(G6/C6)*100</f>
        <v>186.2967175</v>
      </c>
      <c r="L6" s="45">
        <f t="shared" si="5"/>
        <v>188.9883433</v>
      </c>
      <c r="M6" s="46">
        <f t="shared" si="5"/>
        <v>233.2047554</v>
      </c>
      <c r="N6" s="29" t="s">
        <v>14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9.25" customHeight="1">
      <c r="A7" s="22"/>
      <c r="B7" s="44" t="s">
        <v>33</v>
      </c>
      <c r="C7" s="45">
        <f>AVERAGE('1. Raw Data'!P8:P13)</f>
        <v>2440.5</v>
      </c>
      <c r="D7" s="45">
        <f>AVERAGE('1. Raw Data'!P26:P31)</f>
        <v>2646.666667</v>
      </c>
      <c r="E7" s="46">
        <f>AVERAGE('1. Raw Data'!P44:P49)</f>
        <v>6789.5</v>
      </c>
      <c r="F7" s="24" t="s">
        <v>64</v>
      </c>
      <c r="G7" s="45">
        <f>STDEV('1. Raw Data'!P8:P13)</f>
        <v>1041.589698</v>
      </c>
      <c r="H7" s="45">
        <f>STDEV('1. Raw Data'!P26:P31)</f>
        <v>1639.947154</v>
      </c>
      <c r="I7" s="46">
        <f>STDEV('1. Raw Data'!P44:P49)</f>
        <v>11505.21367</v>
      </c>
      <c r="J7" s="24" t="s">
        <v>14</v>
      </c>
      <c r="K7" s="45">
        <f t="shared" ref="K7:M7" si="6">(G7/C7)*100</f>
        <v>42.67935663</v>
      </c>
      <c r="L7" s="45">
        <f t="shared" si="6"/>
        <v>61.9627388</v>
      </c>
      <c r="M7" s="46">
        <f t="shared" si="6"/>
        <v>169.4559786</v>
      </c>
      <c r="N7" s="29" t="s">
        <v>14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9.25" customHeight="1">
      <c r="A8" s="22"/>
      <c r="B8" s="44" t="s">
        <v>35</v>
      </c>
      <c r="C8" s="45">
        <f>AVERAGE('1. Raw Data'!Q8:Q13)</f>
        <v>217.3333333</v>
      </c>
      <c r="D8" s="45">
        <f>AVERAGE('1. Raw Data'!Q26:Q31)</f>
        <v>184.3333333</v>
      </c>
      <c r="E8" s="46">
        <f>AVERAGE('1. Raw Data'!Q44:Q49)</f>
        <v>360.5</v>
      </c>
      <c r="F8" s="24" t="s">
        <v>52</v>
      </c>
      <c r="G8" s="45">
        <f>STDEV('1. Raw Data'!Q8:Q13)</f>
        <v>156.1085093</v>
      </c>
      <c r="H8" s="45">
        <f>STDEV('1. Raw Data'!Q26:Q31)</f>
        <v>143.2308161</v>
      </c>
      <c r="I8" s="46">
        <f>STDEV('1. Raw Data'!Q44:Q49)</f>
        <v>292.6128842</v>
      </c>
      <c r="J8" s="24" t="s">
        <v>52</v>
      </c>
      <c r="K8" s="45">
        <f t="shared" ref="K8:M8" si="7">(G8/C8)*100</f>
        <v>71.82906868</v>
      </c>
      <c r="L8" s="45">
        <f t="shared" si="7"/>
        <v>77.70207019</v>
      </c>
      <c r="M8" s="46">
        <f t="shared" si="7"/>
        <v>81.16862252</v>
      </c>
      <c r="N8" s="29" t="s">
        <v>14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9.25" customHeight="1">
      <c r="A9" s="28"/>
      <c r="B9" s="44" t="s">
        <v>36</v>
      </c>
      <c r="C9" s="45">
        <f>AVERAGE('1. Raw Data'!R8:R13)</f>
        <v>5.666666667</v>
      </c>
      <c r="D9" s="46">
        <f>AVERAGE('1. Raw Data'!R26:R31)</f>
        <v>6.666666667</v>
      </c>
      <c r="E9" s="45">
        <f>AVERAGE('1. Raw Data'!R44:R49)</f>
        <v>6.5</v>
      </c>
      <c r="F9" s="24" t="s">
        <v>55</v>
      </c>
      <c r="G9" s="45">
        <f>STDEV('1. Raw Data'!R8:R13)</f>
        <v>0.8164965809</v>
      </c>
      <c r="H9" s="45">
        <f>STDEV('1. Raw Data'!R26:R31)</f>
        <v>0.8164965809</v>
      </c>
      <c r="I9" s="46">
        <f>STDEV('1. Raw Data'!R44:R49)</f>
        <v>1.760681686</v>
      </c>
      <c r="J9" s="24" t="s">
        <v>51</v>
      </c>
      <c r="K9" s="45">
        <f t="shared" ref="K9:M9" si="8">(G9/C9)*100</f>
        <v>14.40876319</v>
      </c>
      <c r="L9" s="45">
        <f t="shared" si="8"/>
        <v>12.24744871</v>
      </c>
      <c r="M9" s="46">
        <f t="shared" si="8"/>
        <v>27.08741056</v>
      </c>
      <c r="N9" s="29" t="s">
        <v>52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9.25" customHeight="1">
      <c r="A10" s="15">
        <v>1000.0</v>
      </c>
      <c r="B10" s="16" t="s">
        <v>4</v>
      </c>
      <c r="C10" s="19">
        <f>AVERAGE('1. Raw Data'!O14:O19)</f>
        <v>23963.83333</v>
      </c>
      <c r="D10" s="17">
        <f>AVERAGE('1. Raw Data'!O32:O37)</f>
        <v>28282</v>
      </c>
      <c r="E10" s="19">
        <f>AVERAGE('1. Raw Data'!O50:O55)</f>
        <v>22669.5</v>
      </c>
      <c r="F10" s="24" t="s">
        <v>55</v>
      </c>
      <c r="G10" s="17">
        <f>STDEV('1. Raw Data'!O14:O19)</f>
        <v>44354.69834</v>
      </c>
      <c r="H10" s="19">
        <f>STDEV('1. Raw Data'!O32:O37)</f>
        <v>42008.88407</v>
      </c>
      <c r="I10" s="19">
        <f>STDEV('1. Raw Data'!O50:O55)</f>
        <v>41546.38408</v>
      </c>
      <c r="J10" s="24" t="s">
        <v>55</v>
      </c>
      <c r="K10" s="17">
        <f t="shared" ref="K10:M10" si="9">(G10/C10)*100</f>
        <v>185.0901637</v>
      </c>
      <c r="L10" s="19">
        <f t="shared" si="9"/>
        <v>148.5357615</v>
      </c>
      <c r="M10" s="19">
        <f t="shared" si="9"/>
        <v>183.2699622</v>
      </c>
      <c r="N10" s="29" t="s">
        <v>52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9.25" customHeight="1">
      <c r="A11" s="22"/>
      <c r="B11" s="16" t="s">
        <v>33</v>
      </c>
      <c r="C11" s="19">
        <f>AVERAGE('1. Raw Data'!P14:P19)</f>
        <v>32557</v>
      </c>
      <c r="D11" s="17">
        <f>AVERAGE('1. Raw Data'!P32:P37)</f>
        <v>35279.66667</v>
      </c>
      <c r="E11" s="19">
        <f>AVERAGE('1. Raw Data'!P50:P55)</f>
        <v>31778.16667</v>
      </c>
      <c r="F11" s="24" t="s">
        <v>55</v>
      </c>
      <c r="G11" s="17">
        <f>STDEV('1. Raw Data'!P14:P19)</f>
        <v>53531.63823</v>
      </c>
      <c r="H11" s="19">
        <f>STDEV('1. Raw Data'!P32:P37)</f>
        <v>46649.22515</v>
      </c>
      <c r="I11" s="19">
        <f>STDEV('1. Raw Data'!P50:P55)</f>
        <v>48822.18857</v>
      </c>
      <c r="J11" s="24" t="s">
        <v>52</v>
      </c>
      <c r="K11" s="17">
        <f t="shared" ref="K11:M11" si="10">(G11/C11)*100</f>
        <v>164.424358</v>
      </c>
      <c r="L11" s="19">
        <f t="shared" si="10"/>
        <v>132.2269442</v>
      </c>
      <c r="M11" s="19">
        <f t="shared" si="10"/>
        <v>153.6343776</v>
      </c>
      <c r="N11" s="29" t="s">
        <v>52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9.25" customHeight="1">
      <c r="A12" s="22"/>
      <c r="B12" s="16" t="s">
        <v>35</v>
      </c>
      <c r="C12" s="19">
        <f>AVERAGE('1. Raw Data'!Q14:Q19)</f>
        <v>2580.333333</v>
      </c>
      <c r="D12" s="17">
        <f>AVERAGE('1. Raw Data'!Q32:Q37)</f>
        <v>3417</v>
      </c>
      <c r="E12" s="19">
        <f>AVERAGE('1. Raw Data'!Q50:Q55)</f>
        <v>2088.166667</v>
      </c>
      <c r="F12" s="24" t="s">
        <v>55</v>
      </c>
      <c r="G12" s="19">
        <f>STDEV('1. Raw Data'!Q14:Q19)</f>
        <v>3418.871432</v>
      </c>
      <c r="H12" s="17">
        <f>STDEV('1. Raw Data'!Q32:Q37)</f>
        <v>3929.94687</v>
      </c>
      <c r="I12" s="19">
        <f>STDEV('1. Raw Data'!Q50:Q55)</f>
        <v>2652.773825</v>
      </c>
      <c r="J12" s="24" t="s">
        <v>55</v>
      </c>
      <c r="K12" s="17">
        <f t="shared" ref="K12:M12" si="11">(G12/C12)*100</f>
        <v>132.4972781</v>
      </c>
      <c r="L12" s="19">
        <f t="shared" si="11"/>
        <v>115.0116146</v>
      </c>
      <c r="M12" s="19">
        <f t="shared" si="11"/>
        <v>127.0384145</v>
      </c>
      <c r="N12" s="29" t="s">
        <v>52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9.25" customHeight="1">
      <c r="A13" s="28"/>
      <c r="B13" s="16" t="s">
        <v>36</v>
      </c>
      <c r="C13" s="19">
        <f>AVERAGE('1. Raw Data'!R14:R19)</f>
        <v>19.5</v>
      </c>
      <c r="D13" s="17">
        <f>AVERAGE('1. Raw Data'!R32:R37)</f>
        <v>25.5</v>
      </c>
      <c r="E13" s="19">
        <f>AVERAGE('1. Raw Data'!R50:R55)</f>
        <v>16</v>
      </c>
      <c r="F13" s="24" t="s">
        <v>55</v>
      </c>
      <c r="G13" s="19">
        <f>STDEV('1. Raw Data'!R14:R19)</f>
        <v>14.59794506</v>
      </c>
      <c r="H13" s="17">
        <f>STDEV('1. Raw Data'!R32:R37)</f>
        <v>15.80822571</v>
      </c>
      <c r="I13" s="19">
        <f>STDEV('1. Raw Data'!R50:R55)</f>
        <v>8.876936408</v>
      </c>
      <c r="J13" s="24" t="s">
        <v>55</v>
      </c>
      <c r="K13" s="17">
        <f t="shared" ref="K13:M13" si="12">(G13/C13)*100</f>
        <v>74.86125672</v>
      </c>
      <c r="L13" s="19">
        <f t="shared" si="12"/>
        <v>61.99304199</v>
      </c>
      <c r="M13" s="19">
        <f t="shared" si="12"/>
        <v>55.48085255</v>
      </c>
      <c r="N13" s="29" t="s">
        <v>55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9.25" customHeight="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9.25" customHeight="1">
      <c r="A15" s="59"/>
      <c r="B15" s="60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9.25" customHeight="1">
      <c r="A16" s="59"/>
      <c r="B16" s="60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9.25" customHeight="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9.25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9.25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9.25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29.2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29.2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29.2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29.2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29.2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9.2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9.2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9.2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29.2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9.2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29.2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29.2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29.2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29.2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29.2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29.2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29.2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29.2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29.2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29.2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29.2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29.2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29.2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29.2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29.2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29.2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29.2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29.2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29.2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29.2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29.2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29.2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29.2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29.2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29.2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29.2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29.2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29.2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29.2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29.2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29.2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29.2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29.2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29.2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29.2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29.2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29.2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29.2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29.2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29.2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29.2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29.2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29.2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29.2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29.2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29.2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29.2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29.2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29.2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29.2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29.2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29.2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29.2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29.2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29.2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29.2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29.2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29.2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29.2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29.2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29.2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29.2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29.2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29.2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29.2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29.2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29.2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29.2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29.2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29.2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29.2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29.2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29.2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29.2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29.2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29.2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29.2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29.2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29.2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29.2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29.2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29.2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29.2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29.2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29.2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29.2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29.2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29.2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29.2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29.2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29.2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29.2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29.2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29.2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29.2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29.2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29.2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29.2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29.2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29.2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29.2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29.2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29.2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29.2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29.2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29.2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29.2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29.2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29.2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29.2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29.2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29.2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29.2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29.2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29.2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29.2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29.2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29.2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29.2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29.2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29.2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29.2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29.2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29.2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29.2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29.2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29.2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29.2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29.2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29.2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29.2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29.2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29.2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29.2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29.2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29.2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29.2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29.2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29.2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29.2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29.2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29.2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29.2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29.2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29.2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29.2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29.2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29.2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29.2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29.2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29.2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29.2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29.2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29.2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29.2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29.2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29.2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29.2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29.2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29.2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29.2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29.2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29.2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29.2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29.2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29.2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29.2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29.2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29.2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29.2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29.2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29.2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29.2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29.2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29.2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29.2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29.2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29.2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29.2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29.2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29.2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29.2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29.2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29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29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29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29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29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29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29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29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29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29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29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29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29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29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29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29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29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29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29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29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29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29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29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29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29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29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29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29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29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29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29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29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29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29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29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29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29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29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29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29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29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29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29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29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29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29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29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29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29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29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29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29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29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29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29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29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29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29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29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29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29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29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29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29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29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29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29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29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29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29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29.2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29.2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29.2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29.2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29.2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29.2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29.2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29.2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29.2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29.2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29.2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29.2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29.2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29.2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29.2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29.2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29.2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29.2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29.2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29.2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29.2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29.2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29.2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29.2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29.2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29.2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29.2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29.2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29.2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29.2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29.2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29.2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29.2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29.2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29.2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29.2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29.2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29.2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29.2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29.2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29.2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29.2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29.2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29.2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29.2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29.2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29.2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29.2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29.2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29.2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29.2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29.2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29.2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29.2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29.2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29.2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29.2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29.2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29.2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29.2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29.2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29.2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29.2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29.2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29.2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29.2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29.2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29.2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29.2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29.2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29.2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29.2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29.2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29.2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29.2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29.2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29.2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29.2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29.2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29.2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29.2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29.2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29.2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29.2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29.2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29.2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29.2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29.2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29.2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29.2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29.2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29.2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29.2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29.2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29.2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29.2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29.2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29.2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29.2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29.2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29.2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29.2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29.2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29.2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29.2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29.2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29.2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29.2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29.2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29.2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29.2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29.2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29.2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29.2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29.2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29.2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29.2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29.2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29.2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29.2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29.2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29.2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29.2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29.2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29.2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29.2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29.2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29.2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29.2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29.2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29.2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29.2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29.2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29.2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29.2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29.2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29.2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29.2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29.2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29.2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29.2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29.2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29.2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29.2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29.2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29.2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29.2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29.2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29.2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29.2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29.2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29.2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29.2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29.2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29.2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29.2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29.2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29.2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29.2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29.2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29.2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29.2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29.2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29.2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29.2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29.2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29.2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29.2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29.2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29.2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29.2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29.2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29.2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29.2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29.2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29.2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29.2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29.2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29.2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29.2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29.2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29.2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29.2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29.2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29.2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29.2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29.2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29.2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29.2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29.2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29.2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29.2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29.2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29.2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29.2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29.2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29.2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29.2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29.2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29.2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29.2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29.2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29.2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29.2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29.2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29.2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29.2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29.2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29.2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29.2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29.2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29.2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29.2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29.2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29.2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29.2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29.2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29.2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29.2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29.2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29.2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29.2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29.2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29.2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29.2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29.2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29.2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29.2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29.2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29.2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29.2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29.2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29.2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29.2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29.2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29.2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29.2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29.2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29.2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29.2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29.2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29.2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29.2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29.2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29.2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29.2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29.2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29.2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29.2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29.2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29.2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29.2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29.2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29.2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29.2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29.2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29.2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29.2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29.2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29.2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29.2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29.2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29.2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29.2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29.2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29.2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29.2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29.2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29.2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29.2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29.2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29.2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29.2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29.2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29.2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29.2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29.2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29.2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29.2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29.2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29.2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29.2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29.2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29.2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29.2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29.2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29.2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29.2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29.2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29.2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29.2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29.2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29.2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29.2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29.2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29.2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29.2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29.2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29.2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29.2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29.2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29.2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29.2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29.2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29.2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29.2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29.2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29.2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29.2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29.2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29.2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29.2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29.2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29.2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29.2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29.2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29.2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29.2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29.2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29.2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29.2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29.2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29.2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29.2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29.2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29.2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29.2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29.2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29.2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29.2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29.2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29.2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29.2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29.2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29.2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29.2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29.2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29.2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29.2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29.2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29.2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29.2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29.2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29.2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29.2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29.2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29.2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29.2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29.2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29.2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29.2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29.2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29.2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29.2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29.2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29.2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29.2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29.2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29.2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29.2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29.2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29.2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29.2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29.2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29.2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29.2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29.2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29.2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29.2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29.2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29.2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29.2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29.2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29.2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29.2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29.2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29.2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29.2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29.2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29.2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29.2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29.2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29.2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29.2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29.2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29.2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29.2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29.2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29.2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29.2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29.2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29.2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29.2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29.2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29.2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29.2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29.2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29.2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29.2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29.2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29.2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29.2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29.2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29.2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29.2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29.2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29.2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29.2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29.2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29.2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29.2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29.2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29.2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29.2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29.2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29.2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29.2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29.2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29.2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29.2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29.2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29.2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29.2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29.2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29.2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29.2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29.2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29.2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29.2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29.2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29.2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29.2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29.2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29.2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29.2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29.2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29.2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29.2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29.2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29.2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29.2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29.2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29.2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29.2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29.2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29.2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29.2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29.2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29.2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29.2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29.2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29.2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29.2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29.2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29.2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29.2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29.2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29.2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29.2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29.2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29.2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29.2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29.2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29.2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29.2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29.2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29.2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29.2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29.2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29.2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29.2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29.2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29.2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29.2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29.2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29.2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29.2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29.2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29.2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29.2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29.2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29.2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29.2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29.2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29.2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29.2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29.2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29.2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29.2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29.2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29.2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29.2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29.2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29.2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29.2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29.2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29.2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29.2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29.2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29.2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29.2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29.2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29.2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29.2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29.2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29.2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29.2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29.2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29.2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29.2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29.2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29.2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29.2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29.2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29.2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29.2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29.2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29.2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29.2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29.2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29.2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29.2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29.2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29.2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29.2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29.2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29.2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29.2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29.2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29.2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29.2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29.2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29.2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29.2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29.2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29.2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29.2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29.2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29.2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29.2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29.2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29.2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29.2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29.2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29.2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29.2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29.2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29.2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29.2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29.2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29.2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29.2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29.2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29.2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29.2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29.2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29.2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29.2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29.2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29.2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29.2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29.2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29.2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29.2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29.2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29.2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29.2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29.2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29.2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29.2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29.2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29.2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29.2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29.2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29.2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29.2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29.2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29.2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29.2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29.2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29.2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29.2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29.2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29.2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29.2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29.2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29.2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29.2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29.2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29.2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29.2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29.2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29.2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29.2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29.2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29.2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29.2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29.2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29.2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29.2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29.2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29.2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29.2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29.2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29.2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29.2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29.2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29.2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29.2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29.2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29.2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29.2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29.2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29.2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29.2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29.2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29.2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29.2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29.2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29.2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29.2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29.2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29.2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29.2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29.2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29.2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29.2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29.2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29.2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29.2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29.2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29.2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29.2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29.2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29.2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29.2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29.2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29.2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29.2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29.2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29.2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29.2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29.2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29.2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29.2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29.2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29.2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29.2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29.2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29.2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29.2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29.2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29.2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29.2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29.2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29.2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29.2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29.2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29.2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29.2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29.2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29.2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29.2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29.2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29.2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29.2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29.2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29.2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29.2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29.2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29.2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29.2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29.2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29.2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29.2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29.2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29.2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29.2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29.2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29.2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29.2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29.2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29.2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29.2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29.2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29.2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29.2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29.2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29.2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29.2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29.2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29.2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29.2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29.2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29.2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29.2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</sheetData>
  <autoFilter ref="$A$1:$N$13">
    <sortState ref="A1:N13">
      <sortCondition ref="A1:A13"/>
      <sortCondition descending="1" ref="B1:B13"/>
    </sortState>
  </autoFilter>
  <mergeCells count="3">
    <mergeCell ref="A2:A5"/>
    <mergeCell ref="A6:A9"/>
    <mergeCell ref="A10:A1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2" width="21.0"/>
  </cols>
  <sheetData>
    <row r="1" ht="35.25" customHeight="1">
      <c r="A1" s="1" t="s">
        <v>0</v>
      </c>
      <c r="B1" s="3" t="s">
        <v>1</v>
      </c>
      <c r="C1" s="1" t="s">
        <v>4</v>
      </c>
      <c r="D1" s="3" t="s">
        <v>7</v>
      </c>
      <c r="E1" s="3" t="s">
        <v>9</v>
      </c>
      <c r="F1" s="3" t="s">
        <v>10</v>
      </c>
      <c r="G1" s="3" t="s">
        <v>11</v>
      </c>
    </row>
    <row r="2" ht="18.75" customHeight="1">
      <c r="A2" s="5" t="s">
        <v>14</v>
      </c>
      <c r="B2" s="7">
        <v>100.0</v>
      </c>
      <c r="C2" s="8">
        <v>3.0</v>
      </c>
      <c r="D2" s="14">
        <f>AVERAGE(C2:C7)</f>
        <v>2.333333333</v>
      </c>
      <c r="E2" s="14">
        <f>STDEV(C2:C7)</f>
        <v>0.5163977795</v>
      </c>
      <c r="F2" s="18">
        <f>(C2-D2)/E2</f>
        <v>1.290994449</v>
      </c>
      <c r="G2" s="20" t="b">
        <f t="shared" ref="G2:G18" si="1">ABS(F2)&gt;2</f>
        <v>0</v>
      </c>
    </row>
    <row r="3" ht="18.75" customHeight="1">
      <c r="A3" s="22"/>
      <c r="B3" s="22"/>
      <c r="C3" s="8">
        <v>2.0</v>
      </c>
      <c r="D3" s="22"/>
      <c r="E3" s="22"/>
      <c r="F3" s="18">
        <f>(C3-D2)/E2</f>
        <v>-0.6454972244</v>
      </c>
      <c r="G3" s="20" t="b">
        <f t="shared" si="1"/>
        <v>0</v>
      </c>
    </row>
    <row r="4" ht="18.75" customHeight="1">
      <c r="A4" s="22"/>
      <c r="B4" s="22"/>
      <c r="C4" s="8">
        <v>2.0</v>
      </c>
      <c r="D4" s="22"/>
      <c r="E4" s="22"/>
      <c r="F4" s="18">
        <f>(C4-D2)/E2</f>
        <v>-0.6454972244</v>
      </c>
      <c r="G4" s="20" t="b">
        <f t="shared" si="1"/>
        <v>0</v>
      </c>
    </row>
    <row r="5" ht="18.75" customHeight="1">
      <c r="A5" s="22"/>
      <c r="B5" s="22"/>
      <c r="C5" s="8">
        <v>3.0</v>
      </c>
      <c r="D5" s="22"/>
      <c r="E5" s="22"/>
      <c r="F5" s="18">
        <f>(C5-D2)/E2</f>
        <v>1.290994449</v>
      </c>
      <c r="G5" s="20" t="b">
        <f t="shared" si="1"/>
        <v>0</v>
      </c>
    </row>
    <row r="6" ht="18.75" customHeight="1">
      <c r="A6" s="22"/>
      <c r="B6" s="22"/>
      <c r="C6" s="8">
        <v>2.0</v>
      </c>
      <c r="D6" s="22"/>
      <c r="E6" s="22"/>
      <c r="F6" s="18">
        <f>(C6-D2)/E2</f>
        <v>-0.6454972244</v>
      </c>
      <c r="G6" s="20" t="b">
        <f t="shared" si="1"/>
        <v>0</v>
      </c>
    </row>
    <row r="7" ht="18.75" customHeight="1">
      <c r="A7" s="22"/>
      <c r="B7" s="28"/>
      <c r="C7" s="8">
        <v>2.0</v>
      </c>
      <c r="D7" s="28"/>
      <c r="E7" s="28"/>
      <c r="F7" s="18">
        <f>(C7-D2)/E2</f>
        <v>-0.6454972244</v>
      </c>
      <c r="G7" s="20" t="b">
        <f t="shared" si="1"/>
        <v>0</v>
      </c>
    </row>
    <row r="8" ht="18.75" customHeight="1">
      <c r="A8" s="22"/>
      <c r="B8" s="7">
        <v>500.0</v>
      </c>
      <c r="C8" s="32">
        <v>17.0</v>
      </c>
      <c r="D8" s="14">
        <f>AVERAGE(C8:C13)</f>
        <v>146.6666667</v>
      </c>
      <c r="E8" s="14">
        <f>STDEV(C8:C13)</f>
        <v>273.2351856</v>
      </c>
      <c r="F8" s="18">
        <f>(C8-D8)/E8</f>
        <v>-0.4745606477</v>
      </c>
      <c r="G8" s="20" t="b">
        <f t="shared" si="1"/>
        <v>0</v>
      </c>
    </row>
    <row r="9" ht="18.75" customHeight="1">
      <c r="A9" s="22"/>
      <c r="B9" s="22"/>
      <c r="C9" s="32">
        <v>110.0</v>
      </c>
      <c r="D9" s="22"/>
      <c r="E9" s="22"/>
      <c r="F9" s="18">
        <f>(C9-D8)/E8</f>
        <v>-0.1341945276</v>
      </c>
      <c r="G9" s="20" t="b">
        <f t="shared" si="1"/>
        <v>0</v>
      </c>
    </row>
    <row r="10" ht="18.75" customHeight="1">
      <c r="A10" s="22"/>
      <c r="B10" s="22"/>
      <c r="C10" s="32">
        <v>28.0</v>
      </c>
      <c r="D10" s="22"/>
      <c r="E10" s="22"/>
      <c r="F10" s="18">
        <f>(C10-D8)/E8</f>
        <v>-0.4343022894</v>
      </c>
      <c r="G10" s="20" t="b">
        <f t="shared" si="1"/>
        <v>0</v>
      </c>
    </row>
    <row r="11" ht="18.75" customHeight="1">
      <c r="A11" s="22"/>
      <c r="B11" s="22"/>
      <c r="C11" s="32">
        <v>24.0</v>
      </c>
      <c r="D11" s="22"/>
      <c r="E11" s="22"/>
      <c r="F11" s="18">
        <f>(C11-D8)/E8</f>
        <v>-0.4489416924</v>
      </c>
      <c r="G11" s="20" t="b">
        <f t="shared" si="1"/>
        <v>0</v>
      </c>
    </row>
    <row r="12" ht="18.75" customHeight="1">
      <c r="A12" s="22"/>
      <c r="B12" s="22"/>
      <c r="C12" s="32">
        <v>2.0</v>
      </c>
      <c r="D12" s="22"/>
      <c r="E12" s="22"/>
      <c r="F12" s="18">
        <f>(C12-D8)/E8</f>
        <v>-0.529458409</v>
      </c>
      <c r="G12" s="20" t="b">
        <f t="shared" si="1"/>
        <v>0</v>
      </c>
    </row>
    <row r="13" ht="18.75" customHeight="1">
      <c r="A13" s="22"/>
      <c r="B13" s="28"/>
      <c r="C13" s="32">
        <v>699.0</v>
      </c>
      <c r="D13" s="28"/>
      <c r="E13" s="28"/>
      <c r="F13" s="18">
        <f>(C13-D8)/E8</f>
        <v>2.021457566</v>
      </c>
      <c r="G13" s="35" t="b">
        <f t="shared" si="1"/>
        <v>1</v>
      </c>
    </row>
    <row r="14" ht="18.75" customHeight="1">
      <c r="A14" s="22"/>
      <c r="B14" s="7">
        <v>1000.0</v>
      </c>
      <c r="C14" s="32">
        <v>6408.0</v>
      </c>
      <c r="D14" s="14">
        <f>AVERAGE(C14:C18)</f>
        <v>5863</v>
      </c>
      <c r="E14" s="14">
        <f>STDEV(C14:C18)</f>
        <v>1368.512148</v>
      </c>
      <c r="F14" s="18">
        <f>(C14-D14)/E14</f>
        <v>0.3982427198</v>
      </c>
      <c r="G14" s="20" t="b">
        <f t="shared" si="1"/>
        <v>0</v>
      </c>
    </row>
    <row r="15" ht="18.75" customHeight="1">
      <c r="A15" s="22"/>
      <c r="B15" s="22"/>
      <c r="C15" s="32">
        <v>4672.0</v>
      </c>
      <c r="D15" s="22"/>
      <c r="E15" s="22"/>
      <c r="F15" s="18">
        <f>(C15-D14)/E14</f>
        <v>-0.8702882188</v>
      </c>
      <c r="G15" s="20" t="b">
        <f t="shared" si="1"/>
        <v>0</v>
      </c>
    </row>
    <row r="16" ht="18.75" customHeight="1">
      <c r="A16" s="22"/>
      <c r="B16" s="22"/>
      <c r="C16" s="32">
        <v>7891.0</v>
      </c>
      <c r="D16" s="22"/>
      <c r="E16" s="22"/>
      <c r="F16" s="18">
        <f>(C16-D14)/E14</f>
        <v>1.48190135</v>
      </c>
      <c r="G16" s="20" t="b">
        <f t="shared" si="1"/>
        <v>0</v>
      </c>
    </row>
    <row r="17" ht="18.75" customHeight="1">
      <c r="A17" s="22"/>
      <c r="B17" s="22"/>
      <c r="C17" s="32">
        <v>4577.0</v>
      </c>
      <c r="D17" s="22"/>
      <c r="E17" s="22"/>
      <c r="F17" s="18">
        <f>(C17-D14)/E14</f>
        <v>-0.9397066746</v>
      </c>
      <c r="G17" s="20" t="b">
        <f t="shared" si="1"/>
        <v>0</v>
      </c>
    </row>
    <row r="18" ht="18.75" customHeight="1">
      <c r="A18" s="28"/>
      <c r="B18" s="28"/>
      <c r="C18" s="32">
        <v>5767.0</v>
      </c>
      <c r="D18" s="28"/>
      <c r="E18" s="28"/>
      <c r="F18" s="18">
        <f>(C18-D14)/E14</f>
        <v>-0.07014917633</v>
      </c>
      <c r="G18" s="20" t="b">
        <f t="shared" si="1"/>
        <v>0</v>
      </c>
    </row>
    <row r="19" ht="18.75" customHeight="1">
      <c r="A19" s="37" t="s">
        <v>57</v>
      </c>
      <c r="B19" s="38">
        <v>100.0</v>
      </c>
      <c r="C19" s="39">
        <v>2.0</v>
      </c>
      <c r="D19" s="40">
        <f>AVERAGE(C19:C24)</f>
        <v>2</v>
      </c>
      <c r="E19" s="40">
        <f>STDEV(C19:C24)</f>
        <v>0</v>
      </c>
      <c r="F19" s="41" t="s">
        <v>59</v>
      </c>
      <c r="G19" s="43" t="b">
        <v>0</v>
      </c>
    </row>
    <row r="20" ht="18.75" customHeight="1">
      <c r="A20" s="22"/>
      <c r="B20" s="22"/>
      <c r="C20" s="39">
        <v>2.0</v>
      </c>
      <c r="D20" s="22"/>
      <c r="E20" s="22"/>
      <c r="F20" s="41" t="s">
        <v>59</v>
      </c>
      <c r="G20" s="43" t="b">
        <v>0</v>
      </c>
    </row>
    <row r="21" ht="18.75" customHeight="1">
      <c r="A21" s="22"/>
      <c r="B21" s="22"/>
      <c r="C21" s="39">
        <v>2.0</v>
      </c>
      <c r="D21" s="22"/>
      <c r="E21" s="22"/>
      <c r="F21" s="41" t="s">
        <v>59</v>
      </c>
      <c r="G21" s="43" t="b">
        <v>0</v>
      </c>
    </row>
    <row r="22" ht="18.75" customHeight="1">
      <c r="A22" s="22"/>
      <c r="B22" s="22"/>
      <c r="C22" s="39">
        <v>2.0</v>
      </c>
      <c r="D22" s="22"/>
      <c r="E22" s="22"/>
      <c r="F22" s="41" t="s">
        <v>59</v>
      </c>
      <c r="G22" s="43" t="b">
        <v>0</v>
      </c>
    </row>
    <row r="23" ht="18.75" customHeight="1">
      <c r="A23" s="22"/>
      <c r="B23" s="22"/>
      <c r="C23" s="39">
        <v>2.0</v>
      </c>
      <c r="D23" s="22"/>
      <c r="E23" s="22"/>
      <c r="F23" s="41" t="s">
        <v>59</v>
      </c>
      <c r="G23" s="43" t="b">
        <v>0</v>
      </c>
    </row>
    <row r="24" ht="18.75" customHeight="1">
      <c r="A24" s="22"/>
      <c r="B24" s="28"/>
      <c r="C24" s="39">
        <v>2.0</v>
      </c>
      <c r="D24" s="28"/>
      <c r="E24" s="28"/>
      <c r="F24" s="41" t="s">
        <v>59</v>
      </c>
      <c r="G24" s="43" t="b">
        <v>0</v>
      </c>
    </row>
    <row r="25" ht="18.75" customHeight="1">
      <c r="A25" s="22"/>
      <c r="B25" s="38">
        <v>500.0</v>
      </c>
      <c r="C25" s="47">
        <v>2.0</v>
      </c>
      <c r="D25" s="40">
        <f>AVERAGE(C25:C30)</f>
        <v>436.5</v>
      </c>
      <c r="E25" s="40">
        <f>STDEV(C25:C30)</f>
        <v>824.9341186</v>
      </c>
      <c r="F25" s="51">
        <f>(C25-D25)/E25</f>
        <v>-0.5267087277</v>
      </c>
      <c r="G25" s="20" t="b">
        <f t="shared" ref="G25:G51" si="2">ABS(F25)&gt;2</f>
        <v>0</v>
      </c>
    </row>
    <row r="26" ht="18.75" customHeight="1">
      <c r="A26" s="22"/>
      <c r="B26" s="22"/>
      <c r="C26" s="47">
        <v>15.0</v>
      </c>
      <c r="D26" s="22"/>
      <c r="E26" s="22"/>
      <c r="F26" s="51">
        <f>(C26-D25)/E25</f>
        <v>-0.5109498935</v>
      </c>
      <c r="G26" s="20" t="b">
        <f t="shared" si="2"/>
        <v>0</v>
      </c>
    </row>
    <row r="27" ht="18.75" customHeight="1">
      <c r="A27" s="22"/>
      <c r="B27" s="22"/>
      <c r="C27" s="47">
        <v>2104.0</v>
      </c>
      <c r="D27" s="22"/>
      <c r="E27" s="22"/>
      <c r="F27" s="51">
        <f>(C27-D25)/E25</f>
        <v>2.021373541</v>
      </c>
      <c r="G27" s="35" t="b">
        <f t="shared" si="2"/>
        <v>1</v>
      </c>
    </row>
    <row r="28" ht="18.75" customHeight="1">
      <c r="A28" s="22"/>
      <c r="B28" s="22"/>
      <c r="C28" s="47">
        <v>272.0</v>
      </c>
      <c r="D28" s="22"/>
      <c r="E28" s="22"/>
      <c r="F28" s="51">
        <f>(C28-D25)/E25</f>
        <v>-0.1994098635</v>
      </c>
      <c r="G28" s="20" t="b">
        <f t="shared" si="2"/>
        <v>0</v>
      </c>
    </row>
    <row r="29" ht="18.75" customHeight="1">
      <c r="A29" s="22"/>
      <c r="B29" s="22"/>
      <c r="C29" s="47">
        <v>15.0</v>
      </c>
      <c r="D29" s="22"/>
      <c r="E29" s="22"/>
      <c r="F29" s="51">
        <f>(C29-D25)/E25</f>
        <v>-0.5109498935</v>
      </c>
      <c r="G29" s="20" t="b">
        <f t="shared" si="2"/>
        <v>0</v>
      </c>
    </row>
    <row r="30" ht="18.75" customHeight="1">
      <c r="A30" s="22"/>
      <c r="B30" s="28"/>
      <c r="C30" s="47">
        <v>211.0</v>
      </c>
      <c r="D30" s="28"/>
      <c r="E30" s="28"/>
      <c r="F30" s="51">
        <f>(C30-D25)/E25</f>
        <v>-0.2733551625</v>
      </c>
      <c r="G30" s="20" t="b">
        <f t="shared" si="2"/>
        <v>0</v>
      </c>
    </row>
    <row r="31" ht="18.75" customHeight="1">
      <c r="A31" s="22"/>
      <c r="B31" s="38">
        <v>1000.0</v>
      </c>
      <c r="C31" s="47">
        <v>5320.0</v>
      </c>
      <c r="D31" s="40">
        <f>AVERAGE(C31:C34)</f>
        <v>9612.25</v>
      </c>
      <c r="E31" s="40">
        <f>STDEV(C31:C34)</f>
        <v>5298.861788</v>
      </c>
      <c r="F31" s="51">
        <f>(C31-D31)/E31</f>
        <v>-0.8100324507</v>
      </c>
      <c r="G31" s="20" t="b">
        <f t="shared" si="2"/>
        <v>0</v>
      </c>
    </row>
    <row r="32" ht="18.75" customHeight="1">
      <c r="A32" s="22"/>
      <c r="B32" s="22"/>
      <c r="C32" s="47">
        <v>17349.0</v>
      </c>
      <c r="D32" s="22"/>
      <c r="E32" s="22"/>
      <c r="F32" s="51">
        <f>(C32-D31)/E31</f>
        <v>1.460077713</v>
      </c>
      <c r="G32" s="20" t="b">
        <f t="shared" si="2"/>
        <v>0</v>
      </c>
    </row>
    <row r="33" ht="18.75" customHeight="1">
      <c r="A33" s="22"/>
      <c r="B33" s="22"/>
      <c r="C33" s="47">
        <v>7788.0</v>
      </c>
      <c r="D33" s="22"/>
      <c r="E33" s="22"/>
      <c r="F33" s="51">
        <f>(C33-D31)/E31</f>
        <v>-0.344272048</v>
      </c>
      <c r="G33" s="20" t="b">
        <f t="shared" si="2"/>
        <v>0</v>
      </c>
    </row>
    <row r="34" ht="18.75" customHeight="1">
      <c r="A34" s="28"/>
      <c r="B34" s="28"/>
      <c r="C34" s="47">
        <v>7992.0</v>
      </c>
      <c r="D34" s="28"/>
      <c r="E34" s="28"/>
      <c r="F34" s="51">
        <f>(C34-D31)/E31</f>
        <v>-0.3057732141</v>
      </c>
      <c r="G34" s="20" t="b">
        <f t="shared" si="2"/>
        <v>0</v>
      </c>
    </row>
    <row r="35" ht="18.75" customHeight="1">
      <c r="A35" s="5" t="s">
        <v>68</v>
      </c>
      <c r="B35" s="7">
        <v>100.0</v>
      </c>
      <c r="C35" s="32">
        <v>2.0</v>
      </c>
      <c r="D35" s="14">
        <f>AVERAGE(C35:C40)</f>
        <v>2.166666667</v>
      </c>
      <c r="E35" s="14">
        <f>STDEV(C35:C40)</f>
        <v>0.4082482905</v>
      </c>
      <c r="F35" s="18">
        <f>(C35-D35)/E35</f>
        <v>-0.4082482905</v>
      </c>
      <c r="G35" s="20" t="b">
        <f t="shared" si="2"/>
        <v>0</v>
      </c>
    </row>
    <row r="36" ht="18.75" customHeight="1">
      <c r="A36" s="22"/>
      <c r="B36" s="22"/>
      <c r="C36" s="32">
        <v>2.0</v>
      </c>
      <c r="D36" s="22"/>
      <c r="E36" s="22"/>
      <c r="F36" s="18">
        <f>(C36-D35)/E35</f>
        <v>-0.4082482905</v>
      </c>
      <c r="G36" s="20" t="b">
        <f t="shared" si="2"/>
        <v>0</v>
      </c>
    </row>
    <row r="37" ht="18.75" customHeight="1">
      <c r="A37" s="22"/>
      <c r="B37" s="22"/>
      <c r="C37" s="32">
        <v>2.0</v>
      </c>
      <c r="D37" s="22"/>
      <c r="E37" s="22"/>
      <c r="F37" s="18">
        <f>(C37-D35)/E35</f>
        <v>-0.4082482905</v>
      </c>
      <c r="G37" s="20" t="b">
        <f t="shared" si="2"/>
        <v>0</v>
      </c>
    </row>
    <row r="38" ht="18.75" customHeight="1">
      <c r="A38" s="22"/>
      <c r="B38" s="22"/>
      <c r="C38" s="32">
        <v>3.0</v>
      </c>
      <c r="D38" s="22"/>
      <c r="E38" s="22"/>
      <c r="F38" s="18">
        <f>(C38-D35)/E35</f>
        <v>2.041241452</v>
      </c>
      <c r="G38" s="35" t="b">
        <f t="shared" si="2"/>
        <v>1</v>
      </c>
    </row>
    <row r="39" ht="18.75" customHeight="1">
      <c r="A39" s="22"/>
      <c r="B39" s="22"/>
      <c r="C39" s="32">
        <v>2.0</v>
      </c>
      <c r="D39" s="22"/>
      <c r="E39" s="22"/>
      <c r="F39" s="18">
        <f>(C39-D35)/E35</f>
        <v>-0.4082482905</v>
      </c>
      <c r="G39" s="20" t="b">
        <f t="shared" si="2"/>
        <v>0</v>
      </c>
    </row>
    <row r="40" ht="18.75" customHeight="1">
      <c r="A40" s="22"/>
      <c r="B40" s="28"/>
      <c r="C40" s="32">
        <v>2.0</v>
      </c>
      <c r="D40" s="28"/>
      <c r="E40" s="28"/>
      <c r="F40" s="18">
        <f>(C40-D35)/E35</f>
        <v>-0.4082482905</v>
      </c>
      <c r="G40" s="20" t="b">
        <f t="shared" si="2"/>
        <v>0</v>
      </c>
    </row>
    <row r="41" ht="18.75" customHeight="1">
      <c r="A41" s="22"/>
      <c r="B41" s="7">
        <v>500.0</v>
      </c>
      <c r="C41" s="32">
        <v>25821.0</v>
      </c>
      <c r="D41" s="14">
        <f>AVERAGE(C41:C46)</f>
        <v>4483.666667</v>
      </c>
      <c r="E41" s="14">
        <f>STDEV(C41:C46)</f>
        <v>10456.12388</v>
      </c>
      <c r="F41" s="18">
        <f>(C41-D41)/E41</f>
        <v>2.040654221</v>
      </c>
      <c r="G41" s="35" t="b">
        <f t="shared" si="2"/>
        <v>1</v>
      </c>
    </row>
    <row r="42" ht="18.75" customHeight="1">
      <c r="A42" s="22"/>
      <c r="B42" s="22"/>
      <c r="C42" s="32">
        <v>20.0</v>
      </c>
      <c r="D42" s="22"/>
      <c r="E42" s="22"/>
      <c r="F42" s="18">
        <f>(C42-D41)/E41</f>
        <v>-0.4268949676</v>
      </c>
      <c r="G42" s="20" t="b">
        <f t="shared" si="2"/>
        <v>0</v>
      </c>
    </row>
    <row r="43" ht="18.75" customHeight="1">
      <c r="A43" s="22"/>
      <c r="B43" s="22"/>
      <c r="C43" s="32">
        <v>609.0</v>
      </c>
      <c r="D43" s="22"/>
      <c r="E43" s="22"/>
      <c r="F43" s="18">
        <f>(C43-D41)/E41</f>
        <v>-0.370564342</v>
      </c>
      <c r="G43" s="20" t="b">
        <f t="shared" si="2"/>
        <v>0</v>
      </c>
    </row>
    <row r="44" ht="18.75" customHeight="1">
      <c r="A44" s="22"/>
      <c r="B44" s="22"/>
      <c r="C44" s="32">
        <v>16.0</v>
      </c>
      <c r="D44" s="22"/>
      <c r="E44" s="22"/>
      <c r="F44" s="18">
        <f>(C44-D41)/E41</f>
        <v>-0.4272775186</v>
      </c>
      <c r="G44" s="20" t="b">
        <f t="shared" si="2"/>
        <v>0</v>
      </c>
    </row>
    <row r="45" ht="18.75" customHeight="1">
      <c r="A45" s="22"/>
      <c r="B45" s="22"/>
      <c r="C45" s="32">
        <v>16.0</v>
      </c>
      <c r="D45" s="22"/>
      <c r="E45" s="22"/>
      <c r="F45" s="18">
        <f>(C45-D41)/E41</f>
        <v>-0.4272775186</v>
      </c>
      <c r="G45" s="20" t="b">
        <f t="shared" si="2"/>
        <v>0</v>
      </c>
    </row>
    <row r="46" ht="18.75" customHeight="1">
      <c r="A46" s="22"/>
      <c r="B46" s="28"/>
      <c r="C46" s="32">
        <v>420.0</v>
      </c>
      <c r="D46" s="28"/>
      <c r="E46" s="28"/>
      <c r="F46" s="18">
        <f>(C46-D41)/E41</f>
        <v>-0.3886398738</v>
      </c>
      <c r="G46" s="20" t="b">
        <f t="shared" si="2"/>
        <v>0</v>
      </c>
    </row>
    <row r="47" ht="18.75" customHeight="1">
      <c r="A47" s="22"/>
      <c r="B47" s="7">
        <v>1000.0</v>
      </c>
      <c r="C47" s="32">
        <v>7416.0</v>
      </c>
      <c r="D47" s="14">
        <f>AVERAGE(C47:C51)</f>
        <v>5712.6</v>
      </c>
      <c r="E47" s="14">
        <f>STDEV(C47:C51)</f>
        <v>1050.764388</v>
      </c>
      <c r="F47" s="18">
        <f>(C47-D47)/E47</f>
        <v>1.621105567</v>
      </c>
      <c r="G47" s="20" t="b">
        <f t="shared" si="2"/>
        <v>0</v>
      </c>
    </row>
    <row r="48" ht="18.75" customHeight="1">
      <c r="A48" s="22"/>
      <c r="B48" s="22"/>
      <c r="C48" s="32">
        <v>4740.0</v>
      </c>
      <c r="D48" s="22"/>
      <c r="E48" s="22"/>
      <c r="F48" s="18">
        <f>(C48-D47)/E47</f>
        <v>-0.925611879</v>
      </c>
      <c r="G48" s="20" t="b">
        <f t="shared" si="2"/>
        <v>0</v>
      </c>
    </row>
    <row r="49" ht="18.75" customHeight="1">
      <c r="A49" s="22"/>
      <c r="B49" s="22"/>
      <c r="C49" s="32">
        <v>5022.0</v>
      </c>
      <c r="D49" s="22"/>
      <c r="E49" s="22"/>
      <c r="F49" s="18">
        <f>(C49-D47)/E47</f>
        <v>-0.6572358253</v>
      </c>
      <c r="G49" s="20" t="b">
        <f t="shared" si="2"/>
        <v>0</v>
      </c>
    </row>
    <row r="50" ht="18.75" customHeight="1">
      <c r="A50" s="22"/>
      <c r="B50" s="22"/>
      <c r="C50" s="32">
        <v>5479.0</v>
      </c>
      <c r="D50" s="22"/>
      <c r="E50" s="22"/>
      <c r="F50" s="18">
        <f>(C50-D47)/E47</f>
        <v>-0.2223143481</v>
      </c>
      <c r="G50" s="20" t="b">
        <f t="shared" si="2"/>
        <v>0</v>
      </c>
    </row>
    <row r="51" ht="18.75" customHeight="1">
      <c r="A51" s="28"/>
      <c r="B51" s="28"/>
      <c r="C51" s="32">
        <v>5906.0</v>
      </c>
      <c r="D51" s="28"/>
      <c r="E51" s="28"/>
      <c r="F51" s="18">
        <f>(C51-D47)/E47</f>
        <v>0.1840564851</v>
      </c>
      <c r="G51" s="20" t="b">
        <f t="shared" si="2"/>
        <v>0</v>
      </c>
    </row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</sheetData>
  <autoFilter ref="$A$1:$G$51"/>
  <mergeCells count="30">
    <mergeCell ref="D8:D13"/>
    <mergeCell ref="D14:D18"/>
    <mergeCell ref="A2:A18"/>
    <mergeCell ref="A19:A34"/>
    <mergeCell ref="A35:A51"/>
    <mergeCell ref="B2:B7"/>
    <mergeCell ref="D2:D7"/>
    <mergeCell ref="E2:E7"/>
    <mergeCell ref="B8:B13"/>
    <mergeCell ref="E8:E13"/>
    <mergeCell ref="B14:B18"/>
    <mergeCell ref="E14:E18"/>
    <mergeCell ref="D31:D34"/>
    <mergeCell ref="E31:E34"/>
    <mergeCell ref="D25:D30"/>
    <mergeCell ref="D35:D40"/>
    <mergeCell ref="D41:D46"/>
    <mergeCell ref="E41:E46"/>
    <mergeCell ref="D47:D51"/>
    <mergeCell ref="E47:E51"/>
    <mergeCell ref="B35:B40"/>
    <mergeCell ref="B41:B46"/>
    <mergeCell ref="B47:B51"/>
    <mergeCell ref="B19:B24"/>
    <mergeCell ref="D19:D24"/>
    <mergeCell ref="E19:E24"/>
    <mergeCell ref="B25:B30"/>
    <mergeCell ref="E25:E30"/>
    <mergeCell ref="B31:B34"/>
    <mergeCell ref="E35:E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5.29"/>
    <col customWidth="1" min="3" max="3" width="13.86"/>
    <col customWidth="1" min="4" max="4" width="18.71"/>
    <col customWidth="1" min="5" max="5" width="16.71"/>
    <col customWidth="1" min="6" max="6" width="10.86"/>
    <col customWidth="1" min="7" max="7" width="19.0"/>
    <col customWidth="1" min="8" max="8" width="23.86"/>
    <col customWidth="1" min="9" max="9" width="21.71"/>
    <col customWidth="1" min="10" max="10" width="10.86"/>
    <col customWidth="1" min="11" max="11" width="14.71"/>
    <col customWidth="1" min="12" max="12" width="19.57"/>
    <col customWidth="1" min="13" max="13" width="17.43"/>
    <col customWidth="1" min="14" max="26" width="10.86"/>
  </cols>
  <sheetData>
    <row r="1" ht="42.75" customHeight="1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4" t="s">
        <v>8</v>
      </c>
      <c r="G1" s="2" t="s">
        <v>13</v>
      </c>
      <c r="H1" s="2" t="s">
        <v>16</v>
      </c>
      <c r="I1" s="2" t="s">
        <v>18</v>
      </c>
      <c r="J1" s="4" t="s">
        <v>20</v>
      </c>
      <c r="K1" s="2" t="s">
        <v>22</v>
      </c>
      <c r="L1" s="2" t="s">
        <v>24</v>
      </c>
      <c r="M1" s="2" t="s">
        <v>27</v>
      </c>
      <c r="N1" s="4" t="s">
        <v>29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1.75" customHeight="1">
      <c r="A2" s="11" t="s">
        <v>34</v>
      </c>
      <c r="B2" s="13" t="s">
        <v>4</v>
      </c>
      <c r="C2" s="17">
        <f>AVERAGE('1. Raw Data'!O2:O7)</f>
        <v>2.333333333</v>
      </c>
      <c r="D2" s="19">
        <f>AVERAGE('1. Raw Data'!O20:O25)</f>
        <v>2</v>
      </c>
      <c r="E2" s="21">
        <f>AVERAGE('1. Raw Data'!O38:O40,'1. Raw Data'!O42:O43)</f>
        <v>2</v>
      </c>
      <c r="F2" s="23" t="s">
        <v>51</v>
      </c>
      <c r="G2" s="17">
        <f>STDEV('1. Raw Data'!O2:O7)</f>
        <v>0.5163977795</v>
      </c>
      <c r="H2" s="19" t="str">
        <f>STDEV('1. Raw Data'!O20:O25)</f>
        <v>#DIV/0!</v>
      </c>
      <c r="I2" s="21">
        <f>STDEV('1. Raw Data'!O38:O40,'1. Raw Data'!O42:O43)</f>
        <v>0</v>
      </c>
      <c r="J2" s="23" t="s">
        <v>52</v>
      </c>
      <c r="K2" s="26">
        <f t="shared" ref="K2:M2" si="1">((G2/C2)*100)</f>
        <v>22.13133341</v>
      </c>
      <c r="L2" s="27" t="str">
        <f t="shared" si="1"/>
        <v>#DIV/0!</v>
      </c>
      <c r="M2" s="27">
        <f t="shared" si="1"/>
        <v>0</v>
      </c>
      <c r="N2" s="30" t="s">
        <v>51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1.75" customHeight="1">
      <c r="A3" s="22"/>
      <c r="B3" s="13" t="s">
        <v>33</v>
      </c>
      <c r="C3" s="19">
        <f>AVERAGE('1. Raw Data'!P2:P7)</f>
        <v>3.833333333</v>
      </c>
      <c r="D3" s="17">
        <f>AVERAGE('1. Raw Data'!P20:P25)</f>
        <v>4</v>
      </c>
      <c r="E3" s="21">
        <f>AVERAGE('1. Raw Data'!P38:P40,'1. Raw Data'!P42:P43)</f>
        <v>3.8</v>
      </c>
      <c r="F3" s="33" t="s">
        <v>55</v>
      </c>
      <c r="G3" s="19">
        <f>STDEV('1. Raw Data'!P2:P7)</f>
        <v>0.4082482905</v>
      </c>
      <c r="H3" s="19" t="str">
        <f>STDEV('1. Raw Data'!P20:P25)</f>
        <v>#DIV/0!</v>
      </c>
      <c r="I3" s="26">
        <f>STDEV('1. Raw Data'!P38:P40,'1. Raw Data'!P42:P43)</f>
        <v>0.4472135955</v>
      </c>
      <c r="J3" s="23" t="s">
        <v>51</v>
      </c>
      <c r="K3" s="27">
        <f t="shared" ref="K3:M3" si="2">((G3/C3)*100)</f>
        <v>10.6499554</v>
      </c>
      <c r="L3" s="27" t="str">
        <f t="shared" si="2"/>
        <v>#DIV/0!</v>
      </c>
      <c r="M3" s="26">
        <f t="shared" si="2"/>
        <v>11.76877883</v>
      </c>
      <c r="N3" s="34" t="s">
        <v>56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75" customHeight="1">
      <c r="A4" s="22"/>
      <c r="B4" s="13" t="s">
        <v>35</v>
      </c>
      <c r="C4" s="17">
        <f>AVERAGE('1. Raw Data'!Q2:Q7)</f>
        <v>27.5</v>
      </c>
      <c r="D4" s="19">
        <f>AVERAGE('1. Raw Data'!Q20:Q25)</f>
        <v>20.66666667</v>
      </c>
      <c r="E4" s="21">
        <f>AVERAGE('1. Raw Data'!Q38:Q40,'1. Raw Data'!Q42:Q43)</f>
        <v>22.6</v>
      </c>
      <c r="F4" s="33" t="s">
        <v>52</v>
      </c>
      <c r="G4" s="19">
        <f>STDEV('1. Raw Data'!Q2:Q7)</f>
        <v>10.69111781</v>
      </c>
      <c r="H4" s="19">
        <f>STDEV('1. Raw Data'!Q20:Q25)</f>
        <v>12.45257671</v>
      </c>
      <c r="I4" s="26">
        <f>STDEV('1. Raw Data'!Q38:Q40,'1. Raw Data'!Q42:Q43)</f>
        <v>15.40454478</v>
      </c>
      <c r="J4" s="23" t="s">
        <v>14</v>
      </c>
      <c r="K4" s="27">
        <f t="shared" ref="K4:M4" si="3">((G4/C4)*100)</f>
        <v>38.87679203</v>
      </c>
      <c r="L4" s="27">
        <f t="shared" si="3"/>
        <v>60.25440343</v>
      </c>
      <c r="M4" s="26">
        <f t="shared" si="3"/>
        <v>68.16170258</v>
      </c>
      <c r="N4" s="34" t="s">
        <v>14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1.75" customHeight="1">
      <c r="A5" s="28"/>
      <c r="B5" s="13" t="s">
        <v>36</v>
      </c>
      <c r="C5" s="17">
        <f>AVERAGE('1. Raw Data'!R2:R7)</f>
        <v>1.666666667</v>
      </c>
      <c r="D5" s="19">
        <f>AVERAGE('1. Raw Data'!R20:R25)</f>
        <v>1.333333333</v>
      </c>
      <c r="E5" s="21">
        <f>AVERAGE('1. Raw Data'!R38:R40,'1. Raw Data'!R42:R43)</f>
        <v>1.4</v>
      </c>
      <c r="F5" s="33" t="s">
        <v>52</v>
      </c>
      <c r="G5" s="19">
        <f>STDEV('1. Raw Data'!R2:R7)</f>
        <v>0.5163977795</v>
      </c>
      <c r="H5" s="19">
        <f>STDEV('1. Raw Data'!R20:R25)</f>
        <v>0.8164965809</v>
      </c>
      <c r="I5" s="26">
        <f>STDEV('1. Raw Data'!R38:R40,'1. Raw Data'!R42:R43)</f>
        <v>0.894427191</v>
      </c>
      <c r="J5" s="23" t="s">
        <v>14</v>
      </c>
      <c r="K5" s="27">
        <f t="shared" ref="K5:M5" si="4">((G5/C5)*100)</f>
        <v>30.98386677</v>
      </c>
      <c r="L5" s="27">
        <f t="shared" si="4"/>
        <v>61.23724357</v>
      </c>
      <c r="M5" s="26">
        <f t="shared" si="4"/>
        <v>63.8876565</v>
      </c>
      <c r="N5" s="34" t="s">
        <v>14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1.75" customHeight="1">
      <c r="A6" s="48" t="s">
        <v>62</v>
      </c>
      <c r="B6" s="49" t="s">
        <v>4</v>
      </c>
      <c r="C6" s="50">
        <f>AVERAGE('1. Raw Data'!O8:O12)</f>
        <v>36.2</v>
      </c>
      <c r="D6" s="50">
        <f>AVERAGE('1. Raw Data'!O26:O27,'1. Raw Data'!O29:O31)</f>
        <v>103</v>
      </c>
      <c r="E6" s="52">
        <f>AVERAGE('1. Raw Data'!O45:O49)</f>
        <v>216.2</v>
      </c>
      <c r="F6" s="33" t="s">
        <v>14</v>
      </c>
      <c r="G6" s="50">
        <f>STDEV('1. Raw Data'!O8:O12)</f>
        <v>42.42876383</v>
      </c>
      <c r="H6" s="50">
        <f>STDEV('1. Raw Data'!O26:O27,'1. Raw Data'!O29:O31)</f>
        <v>128.3686099</v>
      </c>
      <c r="I6" s="52">
        <f>STDEV('1. Raw Data'!O45:O49)</f>
        <v>280.3929386</v>
      </c>
      <c r="J6" s="33" t="s">
        <v>14</v>
      </c>
      <c r="K6" s="50">
        <f t="shared" ref="K6:M6" si="5">((G6/C6)*100)</f>
        <v>117.2065299</v>
      </c>
      <c r="L6" s="50">
        <f t="shared" si="5"/>
        <v>124.6297183</v>
      </c>
      <c r="M6" s="52">
        <f t="shared" si="5"/>
        <v>129.6914609</v>
      </c>
      <c r="N6" s="34" t="s">
        <v>14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1.75" customHeight="1">
      <c r="A7" s="22"/>
      <c r="B7" s="49" t="s">
        <v>33</v>
      </c>
      <c r="C7" s="52">
        <f>AVERAGE('1. Raw Data'!P8:P12)</f>
        <v>2145.6</v>
      </c>
      <c r="D7" s="50">
        <f>AVERAGE('1. Raw Data'!P26:P27,'1. Raw Data'!P29:P31)</f>
        <v>2049</v>
      </c>
      <c r="E7" s="50">
        <f>AVERAGE('1. Raw Data'!P45:P49)</f>
        <v>2097</v>
      </c>
      <c r="F7" s="33" t="s">
        <v>52</v>
      </c>
      <c r="G7" s="52">
        <f>STDEV('1. Raw Data'!P8:P12)</f>
        <v>838.9823002</v>
      </c>
      <c r="H7" s="50">
        <f>STDEV('1. Raw Data'!P26:P27,'1. Raw Data'!P29:P31)</f>
        <v>826.2823367</v>
      </c>
      <c r="I7" s="50">
        <f>STDEV('1. Raw Data'!P45:P49)</f>
        <v>561.9208129</v>
      </c>
      <c r="J7" s="23" t="s">
        <v>55</v>
      </c>
      <c r="K7" s="50">
        <f t="shared" ref="K7:M7" si="6">((G7/C7)*100)</f>
        <v>39.1024562</v>
      </c>
      <c r="L7" s="52">
        <f t="shared" si="6"/>
        <v>40.32612673</v>
      </c>
      <c r="M7" s="50">
        <f t="shared" si="6"/>
        <v>26.79641454</v>
      </c>
      <c r="N7" s="34" t="s">
        <v>55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1.75" customHeight="1">
      <c r="A8" s="22"/>
      <c r="B8" s="49" t="s">
        <v>35</v>
      </c>
      <c r="C8" s="50">
        <f>AVERAGE('1. Raw Data'!Q8:Q12)</f>
        <v>167</v>
      </c>
      <c r="D8" s="50">
        <f>AVERAGE('1. Raw Data'!Q26:Q27,'1. Raw Data'!Q29:Q31)</f>
        <v>126.4</v>
      </c>
      <c r="E8" s="52">
        <f>AVERAGE('1. Raw Data'!Q45:Q49)</f>
        <v>257.6</v>
      </c>
      <c r="F8" s="33" t="s">
        <v>52</v>
      </c>
      <c r="G8" s="50">
        <f>STDEV('1. Raw Data'!Q8:Q12)</f>
        <v>107.0583953</v>
      </c>
      <c r="H8" s="50">
        <f>STDEV('1. Raw Data'!Q26:Q27,'1. Raw Data'!Q29:Q31)</f>
        <v>21.72095762</v>
      </c>
      <c r="I8" s="52">
        <f>STDEV('1. Raw Data'!Q45:Q49)</f>
        <v>166.1770141</v>
      </c>
      <c r="J8" s="33" t="s">
        <v>52</v>
      </c>
      <c r="K8" s="50">
        <f t="shared" ref="K8:M8" si="7">((G8/C8)*100)</f>
        <v>64.10682352</v>
      </c>
      <c r="L8" s="50">
        <f t="shared" si="7"/>
        <v>17.18430192</v>
      </c>
      <c r="M8" s="52">
        <f t="shared" si="7"/>
        <v>64.50971042</v>
      </c>
      <c r="N8" s="34" t="s">
        <v>56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1.75" customHeight="1">
      <c r="A9" s="28"/>
      <c r="B9" s="49" t="s">
        <v>36</v>
      </c>
      <c r="C9" s="50">
        <f>AVERAGE('1. Raw Data'!R8:R12)</f>
        <v>5.6</v>
      </c>
      <c r="D9" s="52">
        <f>AVERAGE('1. Raw Data'!R26:R27,'1. Raw Data'!R29:R31)</f>
        <v>6.4</v>
      </c>
      <c r="E9" s="50">
        <f>AVERAGE('1. Raw Data'!R45:R49)</f>
        <v>5.8</v>
      </c>
      <c r="F9" s="23" t="s">
        <v>14</v>
      </c>
      <c r="G9" s="52">
        <f>STDEV('1. Raw Data'!R8:R12)</f>
        <v>0.894427191</v>
      </c>
      <c r="H9" s="50">
        <f>STDEV('1. Raw Data'!R26:R27,'1. Raw Data'!R29:R31)</f>
        <v>0.5477225575</v>
      </c>
      <c r="I9" s="50">
        <f>STDEV('1. Raw Data'!R45:R49)</f>
        <v>0.4472135955</v>
      </c>
      <c r="J9" s="33" t="s">
        <v>55</v>
      </c>
      <c r="K9" s="52">
        <f t="shared" ref="K9:M9" si="8">((G9/C9)*100)</f>
        <v>15.97191412</v>
      </c>
      <c r="L9" s="50">
        <f t="shared" si="8"/>
        <v>8.558164961</v>
      </c>
      <c r="M9" s="50">
        <f t="shared" si="8"/>
        <v>7.710579233</v>
      </c>
      <c r="N9" s="34" t="s">
        <v>55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75" customHeight="1">
      <c r="A10" s="11" t="s">
        <v>73</v>
      </c>
      <c r="B10" s="13" t="s">
        <v>4</v>
      </c>
      <c r="C10" s="21">
        <f>AVERAGE('1. Raw Data'!O14:O18)</f>
        <v>5863</v>
      </c>
      <c r="D10" s="26">
        <f>AVERAGE('1. Raw Data'!O32,'1. Raw Data'!O34:O36)</f>
        <v>9612.25</v>
      </c>
      <c r="E10" s="27">
        <f>AVERAGE('1. Raw Data'!O51:O55)</f>
        <v>5712.6</v>
      </c>
      <c r="F10" s="33" t="s">
        <v>55</v>
      </c>
      <c r="G10" s="27">
        <f>STDEV('1. Raw Data'!O14:O18)</f>
        <v>1368.512148</v>
      </c>
      <c r="H10" s="26">
        <f>STDEV('1. Raw Data'!O32,'1. Raw Data'!O34:O36)</f>
        <v>5298.861788</v>
      </c>
      <c r="I10" s="27">
        <f>STDEV('1. Raw Data'!O51:O55)</f>
        <v>1050.764388</v>
      </c>
      <c r="J10" s="33" t="s">
        <v>55</v>
      </c>
      <c r="K10" s="27">
        <f t="shared" ref="K10:M10" si="9">(G10/C10)*100</f>
        <v>23.34150006</v>
      </c>
      <c r="L10" s="26">
        <f t="shared" si="9"/>
        <v>55.12613372</v>
      </c>
      <c r="M10" s="27">
        <f t="shared" si="9"/>
        <v>18.39380297</v>
      </c>
      <c r="N10" s="34" t="s">
        <v>77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75" customHeight="1">
      <c r="A11" s="22"/>
      <c r="B11" s="13" t="s">
        <v>33</v>
      </c>
      <c r="C11" s="21">
        <f>AVERAGE('1. Raw Data'!P14:P18)</f>
        <v>10710.6</v>
      </c>
      <c r="D11" s="26">
        <f>AVERAGE('1. Raw Data'!P32,'1. Raw Data'!P34:P36)</f>
        <v>14015.5</v>
      </c>
      <c r="E11" s="27">
        <f>AVERAGE('1. Raw Data'!P51:P55)</f>
        <v>11865.8</v>
      </c>
      <c r="F11" s="23" t="s">
        <v>14</v>
      </c>
      <c r="G11" s="27">
        <f>STDEV('1. Raw Data'!P14:P18)</f>
        <v>1598.880171</v>
      </c>
      <c r="H11" s="26">
        <f>STDEV('1. Raw Data'!P32,'1. Raw Data'!P34:P36)</f>
        <v>6033.252992</v>
      </c>
      <c r="I11" s="27">
        <f>STDEV('1. Raw Data'!P51:P55)</f>
        <v>2395.834656</v>
      </c>
      <c r="J11" s="23" t="s">
        <v>55</v>
      </c>
      <c r="K11" s="27">
        <f t="shared" ref="K11:M11" si="10">(G11/C11)*100</f>
        <v>14.92801683</v>
      </c>
      <c r="L11" s="26">
        <f t="shared" si="10"/>
        <v>43.04700505</v>
      </c>
      <c r="M11" s="27">
        <f t="shared" si="10"/>
        <v>20.19109252</v>
      </c>
      <c r="N11" s="34" t="s">
        <v>14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75" customHeight="1">
      <c r="A12" s="22"/>
      <c r="B12" s="13" t="s">
        <v>35</v>
      </c>
      <c r="C12" s="21">
        <f>AVERAGE('1. Raw Data'!Q14:Q18)</f>
        <v>1191</v>
      </c>
      <c r="D12" s="26">
        <f>AVERAGE('1. Raw Data'!Q32,'1. Raw Data'!Q34:Q36)</f>
        <v>1539</v>
      </c>
      <c r="E12" s="27">
        <f>AVERAGE('1. Raw Data'!Q51:Q55)</f>
        <v>1015</v>
      </c>
      <c r="F12" s="33" t="s">
        <v>55</v>
      </c>
      <c r="G12" s="27">
        <f>STDEV('1. Raw Data'!Q14:Q18)</f>
        <v>366.0587385</v>
      </c>
      <c r="H12" s="26">
        <f>STDEV('1. Raw Data'!Q32,'1. Raw Data'!Q34:Q36)</f>
        <v>484.2017486</v>
      </c>
      <c r="I12" s="27">
        <f>STDEV('1. Raw Data'!Q51:Q55)</f>
        <v>398.5737071</v>
      </c>
      <c r="J12" s="23" t="s">
        <v>14</v>
      </c>
      <c r="K12" s="27">
        <f t="shared" ref="K12:M12" si="11">(G12/C12)*100</f>
        <v>30.73541045</v>
      </c>
      <c r="L12" s="27">
        <f t="shared" si="11"/>
        <v>31.46210192</v>
      </c>
      <c r="M12" s="26">
        <f t="shared" si="11"/>
        <v>39.26834553</v>
      </c>
      <c r="N12" s="34" t="s">
        <v>14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75" customHeight="1">
      <c r="A13" s="28"/>
      <c r="B13" s="13" t="s">
        <v>36</v>
      </c>
      <c r="C13" s="21">
        <f>AVERAGE('1. Raw Data'!R14:R18)</f>
        <v>13.6</v>
      </c>
      <c r="D13" s="26">
        <f>AVERAGE('1. Raw Data'!R32,'1. Raw Data'!R34:R36)</f>
        <v>17.75</v>
      </c>
      <c r="E13" s="27">
        <f>AVERAGE('1. Raw Data'!R51:R55)</f>
        <v>12.4</v>
      </c>
      <c r="F13" s="33" t="s">
        <v>55</v>
      </c>
      <c r="G13" s="27">
        <f>STDEV('1. Raw Data'!R14:R18)</f>
        <v>2.302172887</v>
      </c>
      <c r="H13" s="26">
        <f>STDEV('1. Raw Data'!R32,'1. Raw Data'!R34:R36)</f>
        <v>2.362907813</v>
      </c>
      <c r="I13" s="27">
        <f>STDEV('1. Raw Data'!R51:R55)</f>
        <v>1.140175425</v>
      </c>
      <c r="J13" s="23" t="s">
        <v>55</v>
      </c>
      <c r="K13" s="26">
        <f t="shared" ref="K13:M13" si="12">(G13/C13)*100</f>
        <v>16.92774181</v>
      </c>
      <c r="L13" s="27">
        <f t="shared" si="12"/>
        <v>13.31215669</v>
      </c>
      <c r="M13" s="27">
        <f t="shared" si="12"/>
        <v>9.194963106</v>
      </c>
      <c r="N13" s="30" t="s">
        <v>55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75" customHeight="1">
      <c r="A15" s="9"/>
      <c r="B15" s="9"/>
      <c r="C15" s="9"/>
      <c r="D15" s="9"/>
      <c r="E15" s="9"/>
      <c r="F15" s="9"/>
      <c r="G15" s="6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1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1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1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1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1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1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1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1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1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1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1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1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1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1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1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1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1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1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1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1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1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1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1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1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1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1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1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1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1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1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1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1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1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1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1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1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1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1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1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1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1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1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1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1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1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1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1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1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1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1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1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1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1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1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1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1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1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1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1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1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1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1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1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1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1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1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1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1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1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1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1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1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1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1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1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1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1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1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1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1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1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1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1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1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1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1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1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1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1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1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1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1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1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1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1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1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1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1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1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1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1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1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1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1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1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1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1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1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1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1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1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1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1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1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1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1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1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1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1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1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1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1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1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1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1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1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1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1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1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1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1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1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1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1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1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1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1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1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1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1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1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1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1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1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1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1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1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1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1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1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1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1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1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1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1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1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1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1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1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1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1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1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1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1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1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1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1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1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1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1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1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1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1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1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1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1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1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1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1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1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1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1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1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1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1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1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1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1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1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1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1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1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1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1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1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1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1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1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1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1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1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1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1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1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1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1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1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1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1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1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1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1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1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1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1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1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1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1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1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1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1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1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1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1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1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1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1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1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1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1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1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1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1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1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1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1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1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1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1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1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1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1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1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1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1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1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1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1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1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1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1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1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1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1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1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1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1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1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1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1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1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1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1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1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1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1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1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1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1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1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1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1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1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1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1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1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1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1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1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1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1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1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1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1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1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1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1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1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1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1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1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1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1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1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1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1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1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1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1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1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1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1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1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1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1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1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1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1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1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1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1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1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1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1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1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1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1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1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1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1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1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1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1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1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1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1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1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1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1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1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1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1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1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1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1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1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1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1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1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1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1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1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1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1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1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1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1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1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1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1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1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1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1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1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1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1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1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1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1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1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1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1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1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1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1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1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1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1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1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1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1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1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1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1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1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1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1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1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1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1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1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1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1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1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1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1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1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1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1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1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1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1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1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1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1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1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1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1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1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1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1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1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1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1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1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1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1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1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1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1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1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1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1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1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1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1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1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1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1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1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1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1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1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1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1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1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1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1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1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1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1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1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1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1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1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1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1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1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1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1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1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1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1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1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1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1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1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1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1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1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1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1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1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1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1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1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1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1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1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1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1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1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1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1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1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1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1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1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1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1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1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1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1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1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1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1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1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1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1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1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1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1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1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1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1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1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1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1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1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1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1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1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1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1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1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1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1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1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1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1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1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1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1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1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1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1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1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1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1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1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1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1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1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1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1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1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1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1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1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1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1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1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1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1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1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1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1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1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1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1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1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1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1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1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1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1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1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1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1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1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1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1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1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1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1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1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1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1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1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1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1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1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1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1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1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1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1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1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1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1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1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1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1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1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1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1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1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1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1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1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1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1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1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1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1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1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1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1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1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1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1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1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1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1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1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1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1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1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1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1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1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1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1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1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1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1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1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1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1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1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1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1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1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1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1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1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1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1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1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1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1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1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1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1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1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1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1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1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1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1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1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1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1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1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1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1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1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1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1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1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1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1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1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1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1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1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1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1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1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1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1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1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1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1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1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1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1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1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1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1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1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1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1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1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1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1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1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1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1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1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1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1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1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1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1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1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1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1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1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1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1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1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1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1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1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1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1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1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1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1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1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1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1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1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1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1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1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1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1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1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1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1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1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1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1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1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1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1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1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1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1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1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1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1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1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1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1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1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1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1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1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1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1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1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1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1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1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1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1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1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1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1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1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1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1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1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1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1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1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1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1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1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1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1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1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1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1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1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1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1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1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1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1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1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1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1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1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1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1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1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1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1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1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1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1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1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1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1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1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1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1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1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1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1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1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1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1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1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1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1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1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1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1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1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1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1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1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1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1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1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1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1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1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1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1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1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1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1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1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1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1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1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1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1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1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1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1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1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1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1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1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1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1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1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1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1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1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1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1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1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1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1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1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1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1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1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1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1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1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1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1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1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1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1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1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1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1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1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1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1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1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1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1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1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1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1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1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1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1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1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1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1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1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1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1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1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1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1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1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1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1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1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1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1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1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1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1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1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1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1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1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1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1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1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1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1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1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1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1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1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1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1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1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1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1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1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1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1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1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1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1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1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1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1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1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1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1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1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1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1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1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1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1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1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1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1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1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1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1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1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1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1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1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1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1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1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1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1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1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1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1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1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1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1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1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1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1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1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1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1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1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1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1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1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1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1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1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1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1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1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1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1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1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1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1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1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1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1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1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1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1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1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1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1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1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1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1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1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1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1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1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1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1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1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1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1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1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1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1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1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</sheetData>
  <autoFilter ref="$A$1:$N$13"/>
  <mergeCells count="3">
    <mergeCell ref="A2:A5"/>
    <mergeCell ref="A6:A9"/>
    <mergeCell ref="A10:A1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8.0"/>
    <col customWidth="1" min="3" max="3" width="13.86"/>
    <col customWidth="1" min="4" max="4" width="18.86"/>
    <col customWidth="1" min="5" max="5" width="18.14"/>
    <col customWidth="1" min="6" max="7" width="12.0"/>
    <col customWidth="1" min="8" max="8" width="16.0"/>
  </cols>
  <sheetData>
    <row r="1" ht="47.25" customHeight="1">
      <c r="A1" s="2" t="s">
        <v>1</v>
      </c>
      <c r="B1" s="2" t="s">
        <v>2</v>
      </c>
      <c r="C1" s="63" t="s">
        <v>87</v>
      </c>
      <c r="D1" s="63" t="s">
        <v>88</v>
      </c>
      <c r="E1" s="63" t="s">
        <v>89</v>
      </c>
      <c r="F1" s="4" t="s">
        <v>90</v>
      </c>
      <c r="G1" s="4" t="s">
        <v>91</v>
      </c>
      <c r="H1" s="2" t="s">
        <v>92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24.0" customHeight="1">
      <c r="A2" s="11" t="s">
        <v>34</v>
      </c>
      <c r="B2" s="13" t="s">
        <v>4</v>
      </c>
      <c r="C2" s="17">
        <f>AVERAGE('1. Raw Data'!O2:O7)</f>
        <v>2.333333333</v>
      </c>
      <c r="D2" s="19">
        <f>AVERAGE('1. Raw Data'!O20:O25)</f>
        <v>2</v>
      </c>
      <c r="E2" s="21">
        <f>AVERAGE('1. Raw Data'!O38:O40,'1. Raw Data'!O42:O43)</f>
        <v>2</v>
      </c>
      <c r="F2" s="34" t="s">
        <v>51</v>
      </c>
      <c r="G2" s="33">
        <v>0.0</v>
      </c>
      <c r="H2" s="13" t="s">
        <v>96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24.0" customHeight="1">
      <c r="A3" s="22"/>
      <c r="B3" s="13" t="s">
        <v>33</v>
      </c>
      <c r="C3" s="19">
        <f>AVERAGE('1. Raw Data'!P2:P7)</f>
        <v>3.833333333</v>
      </c>
      <c r="D3" s="17">
        <f>AVERAGE('1. Raw Data'!P20:P25)</f>
        <v>4</v>
      </c>
      <c r="E3" s="64">
        <f>AVERAGE('1. Raw Data'!P38:P40,'1. Raw Data'!P42:P43)</f>
        <v>3.8</v>
      </c>
      <c r="F3" s="34" t="s">
        <v>55</v>
      </c>
      <c r="G3" s="23">
        <f>(D3-E3)/E3</f>
        <v>0.05263157895</v>
      </c>
      <c r="H3" s="13" t="s">
        <v>98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24.0" customHeight="1">
      <c r="A4" s="22"/>
      <c r="B4" s="13" t="s">
        <v>35</v>
      </c>
      <c r="C4" s="17">
        <f>AVERAGE('1. Raw Data'!Q2:Q7)</f>
        <v>27.5</v>
      </c>
      <c r="D4" s="64">
        <f>AVERAGE('1. Raw Data'!Q20:Q25)</f>
        <v>20.66666667</v>
      </c>
      <c r="E4" s="21">
        <f>AVERAGE('1. Raw Data'!Q38:Q40,'1. Raw Data'!Q42:Q43)</f>
        <v>22.6</v>
      </c>
      <c r="F4" s="34" t="s">
        <v>52</v>
      </c>
      <c r="G4" s="23">
        <f t="shared" ref="G4:G5" si="1">(C4-D4)/D4</f>
        <v>0.3306451613</v>
      </c>
      <c r="H4" s="13" t="s">
        <v>100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ht="24.0" customHeight="1">
      <c r="A5" s="28"/>
      <c r="B5" s="13" t="s">
        <v>36</v>
      </c>
      <c r="C5" s="17">
        <f>AVERAGE('1. Raw Data'!R2:R7)</f>
        <v>1.666666667</v>
      </c>
      <c r="D5" s="64">
        <f>AVERAGE('1. Raw Data'!R20:R25)</f>
        <v>1.333333333</v>
      </c>
      <c r="E5" s="21">
        <f>AVERAGE('1. Raw Data'!R38:R40,'1. Raw Data'!R42:R43)</f>
        <v>1.4</v>
      </c>
      <c r="F5" s="34" t="s">
        <v>52</v>
      </c>
      <c r="G5" s="65">
        <f t="shared" si="1"/>
        <v>0.25</v>
      </c>
      <c r="H5" s="13" t="s">
        <v>100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24.0" customHeight="1">
      <c r="A6" s="48" t="s">
        <v>62</v>
      </c>
      <c r="B6" s="49" t="s">
        <v>4</v>
      </c>
      <c r="C6" s="66">
        <f>AVERAGE('1. Raw Data'!O8:O12)</f>
        <v>36.2</v>
      </c>
      <c r="D6" s="50">
        <f>AVERAGE('1. Raw Data'!O26:O27,'1. Raw Data'!O29:O31)</f>
        <v>103</v>
      </c>
      <c r="E6" s="52">
        <f>AVERAGE('1. Raw Data'!O45:O49)</f>
        <v>216.2</v>
      </c>
      <c r="F6" s="34" t="s">
        <v>14</v>
      </c>
      <c r="G6" s="23">
        <f>(E6-C6)/C6</f>
        <v>4.972375691</v>
      </c>
      <c r="H6" s="49" t="s">
        <v>96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24.0" customHeight="1">
      <c r="A7" s="22"/>
      <c r="B7" s="49" t="s">
        <v>33</v>
      </c>
      <c r="C7" s="52">
        <f>AVERAGE('1. Raw Data'!P8:P12)</f>
        <v>2145.6</v>
      </c>
      <c r="D7" s="66">
        <f>AVERAGE('1. Raw Data'!P26:P27,'1. Raw Data'!P29:P31)</f>
        <v>2049</v>
      </c>
      <c r="E7" s="50">
        <f>AVERAGE('1. Raw Data'!P45:P49)</f>
        <v>2097</v>
      </c>
      <c r="F7" s="34" t="s">
        <v>52</v>
      </c>
      <c r="G7" s="23">
        <f>(C7-D7)/D7</f>
        <v>0.04714494876</v>
      </c>
      <c r="H7" s="49" t="s">
        <v>98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.0" customHeight="1">
      <c r="A8" s="22"/>
      <c r="B8" s="49" t="s">
        <v>35</v>
      </c>
      <c r="C8" s="50">
        <f>AVERAGE('1. Raw Data'!Q8:Q12)</f>
        <v>167</v>
      </c>
      <c r="D8" s="66">
        <f>AVERAGE('1. Raw Data'!Q26:Q27,'1. Raw Data'!Q29:Q31)</f>
        <v>126.4</v>
      </c>
      <c r="E8" s="52">
        <f>AVERAGE('1. Raw Data'!Q45:Q49)</f>
        <v>257.6</v>
      </c>
      <c r="F8" s="34" t="s">
        <v>52</v>
      </c>
      <c r="G8" s="23">
        <f>(E8-D8)/D8</f>
        <v>1.037974684</v>
      </c>
      <c r="H8" s="49" t="s">
        <v>100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24.0" customHeight="1">
      <c r="A9" s="28"/>
      <c r="B9" s="49" t="s">
        <v>36</v>
      </c>
      <c r="C9" s="66">
        <f>AVERAGE('1. Raw Data'!R8:R12)</f>
        <v>5.6</v>
      </c>
      <c r="D9" s="52">
        <f>AVERAGE('1. Raw Data'!R26:R27,'1. Raw Data'!R29:R31)</f>
        <v>6.4</v>
      </c>
      <c r="E9" s="50">
        <f>AVERAGE('1. Raw Data'!R45:R49)</f>
        <v>5.8</v>
      </c>
      <c r="F9" s="34" t="s">
        <v>64</v>
      </c>
      <c r="G9" s="23">
        <f>(D9-C9)/C9</f>
        <v>0.1428571429</v>
      </c>
      <c r="H9" s="49" t="s">
        <v>100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24.0" customHeight="1">
      <c r="A10" s="11" t="s">
        <v>73</v>
      </c>
      <c r="B10" s="13" t="s">
        <v>4</v>
      </c>
      <c r="C10" s="21">
        <f>AVERAGE('1. Raw Data'!O14:O18)</f>
        <v>5863</v>
      </c>
      <c r="D10" s="26">
        <f>AVERAGE('1. Raw Data'!O32,'1. Raw Data'!O34:O36)</f>
        <v>9612.25</v>
      </c>
      <c r="E10" s="64">
        <f>AVERAGE('1. Raw Data'!O51:O55)</f>
        <v>5712.6</v>
      </c>
      <c r="F10" s="34" t="s">
        <v>55</v>
      </c>
      <c r="G10" s="23">
        <f>(D10-E10)/E10</f>
        <v>0.6826401288</v>
      </c>
      <c r="H10" s="13" t="s">
        <v>96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24.0" customHeight="1">
      <c r="A11" s="22"/>
      <c r="B11" s="13" t="s">
        <v>33</v>
      </c>
      <c r="C11" s="64">
        <f>AVERAGE('1. Raw Data'!P14:P18)</f>
        <v>10710.6</v>
      </c>
      <c r="D11" s="26">
        <f>AVERAGE('1. Raw Data'!P32,'1. Raw Data'!P34:P36)</f>
        <v>14015.5</v>
      </c>
      <c r="E11" s="27">
        <f>AVERAGE('1. Raw Data'!P51:P55)</f>
        <v>11865.8</v>
      </c>
      <c r="F11" s="34" t="s">
        <v>64</v>
      </c>
      <c r="G11" s="23">
        <f>(D11-C11)/C11</f>
        <v>0.3085634792</v>
      </c>
      <c r="H11" s="13" t="s">
        <v>98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0" customHeight="1">
      <c r="A12" s="22"/>
      <c r="B12" s="13" t="s">
        <v>35</v>
      </c>
      <c r="C12" s="21">
        <f>AVERAGE('1. Raw Data'!Q14:Q18)</f>
        <v>1191</v>
      </c>
      <c r="D12" s="26">
        <f>AVERAGE('1. Raw Data'!Q32,'1. Raw Data'!Q34:Q36)</f>
        <v>1539</v>
      </c>
      <c r="E12" s="64">
        <f>AVERAGE('1. Raw Data'!Q51:Q55)</f>
        <v>1015</v>
      </c>
      <c r="F12" s="34" t="s">
        <v>55</v>
      </c>
      <c r="G12" s="23">
        <f t="shared" ref="G12:G13" si="2">(D12-E12)/E12</f>
        <v>0.5162561576</v>
      </c>
      <c r="H12" s="13" t="s">
        <v>100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24.0" customHeight="1">
      <c r="A13" s="28"/>
      <c r="B13" s="13" t="s">
        <v>36</v>
      </c>
      <c r="C13" s="21">
        <f>AVERAGE('1. Raw Data'!R14:R18)</f>
        <v>13.6</v>
      </c>
      <c r="D13" s="26">
        <f>AVERAGE('1. Raw Data'!R32,'1. Raw Data'!R34:R36)</f>
        <v>17.75</v>
      </c>
      <c r="E13" s="64">
        <f>AVERAGE('1. Raw Data'!R51:R55)</f>
        <v>12.4</v>
      </c>
      <c r="F13" s="34" t="s">
        <v>55</v>
      </c>
      <c r="G13" s="23">
        <f t="shared" si="2"/>
        <v>0.4314516129</v>
      </c>
      <c r="H13" s="13" t="s">
        <v>100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24.0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24.0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24.0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24.0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24.0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24.0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24.0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24.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24.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24.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24.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24.0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24.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24.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24.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24.0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24.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24.0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24.0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24.0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4.0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24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24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24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24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24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24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24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24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24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24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24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24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24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24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24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24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24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24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24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24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24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24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24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24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24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24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24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24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24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24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24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24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24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24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24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24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24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24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24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24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24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24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24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24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24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24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24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24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24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24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24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24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24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24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24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24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24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24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24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24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24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24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24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24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24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24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24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24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24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24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24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24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24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24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24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24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24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24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24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24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24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24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24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24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24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24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24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24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24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24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24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24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24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24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24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24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24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24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24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24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24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24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24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24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24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24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24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24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24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24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24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24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24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24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24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24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24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24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24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24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24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24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24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24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24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24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24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24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24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24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24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24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24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24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24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24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24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24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24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24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24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24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24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24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24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24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24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24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24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24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24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24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24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24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24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24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24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24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24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24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24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24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24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24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24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24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24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24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24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24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24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24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24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24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24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24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24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24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24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24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24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24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24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24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24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24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24.0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24.0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24.0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24.0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24.0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24.0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24.0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24.0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24.0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24.0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24.0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24.0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24.0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24.0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24.0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24.0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24.0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24.0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24.0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24.0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24.0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24.0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24.0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24.0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24.0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24.0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24.0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24.0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24.0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24.0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24.0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24.0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24.0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24.0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24.0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24.0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24.0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24.0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24.0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24.0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24.0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24.0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24.0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24.0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24.0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24.0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24.0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24.0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24.0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24.0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24.0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24.0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24.0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24.0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24.0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24.0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24.0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24.0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24.0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24.0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24.0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24.0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24.0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24.0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24.0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24.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24.0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24.0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24.0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24.0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24.0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24.0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24.0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24.0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24.0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24.0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24.0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24.0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24.0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24.0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24.0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24.0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24.0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24.0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24.0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24.0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24.0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24.0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24.0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24.0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24.0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24.0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24.0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24.0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24.0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24.0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24.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24.0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24.0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24.0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24.0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24.0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24.0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24.0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24.0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24.0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24.0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24.0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24.0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24.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24.0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24.0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24.0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24.0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24.0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24.0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24.0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24.0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24.0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24.0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24.0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24.0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24.0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24.0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24.0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24.0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24.0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24.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24.0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24.0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24.0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24.0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24.0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24.0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24.0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24.0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24.0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24.0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24.0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24.0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24.0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24.0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24.0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24.0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24.0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24.0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24.0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24.0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24.0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24.0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24.0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24.0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24.0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24.0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24.0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24.0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24.0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24.0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24.0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24.0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24.0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24.0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24.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24.0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24.0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24.0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24.0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24.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24.0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24.0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24.0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24.0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24.0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24.0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24.0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24.0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24.0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24.0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24.0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24.0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24.0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24.0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24.0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24.0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24.0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24.0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24.0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24.0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24.0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24.0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24.0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24.0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24.0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24.0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24.0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24.0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24.0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24.0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24.0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24.0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24.0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24.0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24.0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24.0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24.0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24.0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24.0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24.0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24.0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24.0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24.0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24.0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24.0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24.0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24.0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24.0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24.0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24.0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24.0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24.0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24.0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24.0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24.0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24.0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24.0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24.0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24.0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24.0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24.0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24.0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24.0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24.0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24.0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24.0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24.0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24.0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24.0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24.0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24.0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24.0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24.0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24.0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24.0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24.0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24.0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24.0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24.0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24.0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24.0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24.0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24.0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24.0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24.0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24.0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24.0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24.0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24.0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24.0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24.0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24.0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24.0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24.0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24.0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24.0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24.0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24.0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24.0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24.0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24.0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24.0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24.0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24.0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24.0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24.0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24.0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24.0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24.0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24.0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24.0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24.0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24.0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24.0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24.0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24.0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24.0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24.0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24.0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24.0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24.0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24.0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24.0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24.0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24.0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24.0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24.0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24.0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24.0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24.0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24.0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24.0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24.0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24.0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24.0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24.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24.0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24.0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24.0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24.0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24.0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24.0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24.0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24.0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24.0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24.0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24.0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24.0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24.0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24.0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24.0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24.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24.0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24.0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24.0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24.0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24.0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24.0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24.0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24.0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24.0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24.0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24.0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24.0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24.0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24.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24.0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24.0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24.0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24.0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24.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24.0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24.0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24.0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24.0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24.0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24.0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24.0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24.0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24.0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24.0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24.0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24.0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24.0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24.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24.0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24.0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24.0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24.0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24.0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24.0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24.0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24.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24.0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24.0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24.0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24.0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24.0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24.0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24.0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24.0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24.0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24.0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24.0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24.0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24.0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24.0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24.0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24.0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24.0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24.0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24.0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24.0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24.0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24.0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24.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24.0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24.0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24.0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24.0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24.0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24.0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24.0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24.0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24.0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24.0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24.0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24.0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24.0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24.0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24.0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24.0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24.0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24.0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24.0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24.0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24.0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24.0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24.0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24.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24.0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24.0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24.0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24.0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24.0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24.0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24.0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24.0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24.0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24.0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24.0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24.0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24.0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24.0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24.0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24.0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24.0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24.0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24.0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24.0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24.0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24.0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24.0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24.0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24.0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24.0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24.0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24.0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24.0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24.0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24.0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24.0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24.0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24.0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24.0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24.0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24.0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24.0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24.0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24.0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24.0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24.0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24.0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24.0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24.0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24.0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24.0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24.0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24.0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24.0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24.0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24.0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24.0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24.0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24.0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24.0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24.0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24.0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24.0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24.0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24.0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24.0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24.0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24.0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24.0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24.0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24.0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24.0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24.0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24.0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24.0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24.0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24.0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24.0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24.0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24.0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24.0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24.0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24.0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24.0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24.0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24.0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24.0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24.0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24.0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24.0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24.0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24.0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24.0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24.0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24.0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24.0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24.0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24.0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24.0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24.0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24.0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24.0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24.0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24.0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24.0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24.0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24.0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24.0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24.0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24.0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24.0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24.0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24.0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24.0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24.0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24.0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24.0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24.0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24.0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24.0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24.0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24.0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24.0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24.0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24.0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24.0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24.0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24.0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24.0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24.0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24.0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24.0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24.0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24.0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24.0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24.0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24.0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24.0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24.0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24.0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24.0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24.0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24.0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24.0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24.0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24.0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24.0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24.0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24.0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24.0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24.0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24.0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24.0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24.0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24.0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24.0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24.0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24.0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24.0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24.0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24.0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24.0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24.0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24.0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24.0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24.0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24.0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24.0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24.0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24.0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24.0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24.0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24.0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24.0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24.0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24.0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24.0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24.0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24.0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24.0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24.0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24.0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24.0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24.0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24.0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24.0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24.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24.0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24.0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24.0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24.0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24.0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24.0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24.0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24.0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24.0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24.0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24.0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24.0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24.0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24.0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24.0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24.0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24.0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24.0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24.0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24.0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24.0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24.0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24.0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24.0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24.0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24.0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24.0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24.0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24.0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24.0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24.0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24.0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24.0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24.0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24.0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24.0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24.0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24.0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24.0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24.0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24.0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24.0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24.0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24.0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24.0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24.0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24.0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24.0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24.0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24.0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24.0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24.0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24.0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24.0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24.0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24.0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24.0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24.0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24.0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24.0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24.0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24.0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24.0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24.0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24.0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24.0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24.0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24.0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24.0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24.0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24.0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24.0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24.0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24.0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24.0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24.0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24.0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24.0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24.0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24.0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24.0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24.0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24.0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24.0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24.0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24.0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24.0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24.0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24.0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24.0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24.0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24.0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24.0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24.0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24.0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24.0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24.0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24.0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24.0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24.0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24.0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24.0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24.0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24.0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24.0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24.0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24.0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24.0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24.0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24.0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24.0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24.0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24.0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24.0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24.0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24.0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24.0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24.0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24.0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24.0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24.0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24.0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24.0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24.0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24.0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24.0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24.0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24.0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24.0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24.0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24.0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24.0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24.0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24.0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24.0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24.0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24.0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24.0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24.0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24.0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24.0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24.0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24.0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24.0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24.0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24.0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24.0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24.0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24.0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24.0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24.0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24.0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24.0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24.0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24.0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24.0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24.0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24.0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24.0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24.0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24.0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24.0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24.0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24.0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24.0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24.0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24.0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24.0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24.0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24.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24.0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24.0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24.0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24.0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24.0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24.0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24.0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24.0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24.0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24.0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24.0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24.0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24.0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24.0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24.0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24.0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</sheetData>
  <autoFilter ref="$A$1:$H$13"/>
  <mergeCells count="3">
    <mergeCell ref="A2:A5"/>
    <mergeCell ref="A6:A9"/>
    <mergeCell ref="A10:A1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2026-05-08T18:07:14Z</dcterms:created>
  <dc:creator>openpyxl</dc:creator>
</cp:coreProperties>
</file>