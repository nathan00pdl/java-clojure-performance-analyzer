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Raw Data" sheetId="1" r:id="rId4"/>
    <sheet state="visible" name="2. General Statistical Analysis" sheetId="2" r:id="rId5"/>
    <sheet state="visible" name="3. Z-Score" sheetId="3" r:id="rId6"/>
    <sheet state="visible" name="4. Statistical Analysis Without" sheetId="4" r:id="rId7"/>
    <sheet state="visible" name="5. Performance Analysis" sheetId="5" r:id="rId8"/>
  </sheets>
  <definedNames/>
  <calcPr/>
  <extLst>
    <ext uri="GoogleSheetsCustomDataVersion2">
      <go:sheetsCustomData xmlns:go="http://customooxmlschemas.google.com/" r:id="rId9" roundtripDataChecksum="uEnq1rtUjQl1OM/PemhNXQmm2+lxLDm12ZZCp/TH+Jo="/>
    </ext>
  </extLst>
</workbook>
</file>

<file path=xl/sharedStrings.xml><?xml version="1.0" encoding="utf-8"?>
<sst xmlns="http://schemas.openxmlformats.org/spreadsheetml/2006/main" count="172" uniqueCount="94">
  <si>
    <t>Load</t>
  </si>
  <si>
    <t>IMPL</t>
  </si>
  <si>
    <t>Metric</t>
  </si>
  <si>
    <t>Java AVG</t>
  </si>
  <si>
    <t>Idiomatic AVG</t>
  </si>
  <si>
    <t>Time of tests (min)</t>
  </si>
  <si>
    <t>Interop AVG</t>
  </si>
  <si>
    <t>Total Requests</t>
  </si>
  <si>
    <t>Best AVG</t>
  </si>
  <si>
    <t>P95 (ms)</t>
  </si>
  <si>
    <t>Success Requests</t>
  </si>
  <si>
    <t>Java STD DEV</t>
  </si>
  <si>
    <t>Failed Requests</t>
  </si>
  <si>
    <t>Idiomatic STD DEV</t>
  </si>
  <si>
    <t xml:space="preserve">Error Rate (%) </t>
  </si>
  <si>
    <t>Interop STD DEV</t>
  </si>
  <si>
    <t>Average</t>
  </si>
  <si>
    <t>Best STD DEV</t>
  </si>
  <si>
    <t>Req/Sec</t>
  </si>
  <si>
    <t>Java CV%</t>
  </si>
  <si>
    <t>Standard Deviation</t>
  </si>
  <si>
    <t>Min (ms)</t>
  </si>
  <si>
    <t>Idiomatic CV%</t>
  </si>
  <si>
    <t>Z-Score</t>
  </si>
  <si>
    <t>Mean (ms)</t>
  </si>
  <si>
    <t>Interop CV%</t>
  </si>
  <si>
    <t>Outlier</t>
  </si>
  <si>
    <t>Best CV%</t>
  </si>
  <si>
    <t>Max (ms)</t>
  </si>
  <si>
    <t>Java</t>
  </si>
  <si>
    <t>Stdard Deviation (ms)</t>
  </si>
  <si>
    <t>P50 (ms)</t>
  </si>
  <si>
    <t>P75 (ms)</t>
  </si>
  <si>
    <t>P99 (ms)</t>
  </si>
  <si>
    <t>GC Time (ms)</t>
  </si>
  <si>
    <t>GC Collections</t>
  </si>
  <si>
    <t>Heap Peak (GB)</t>
  </si>
  <si>
    <t>Heap Peak (%)</t>
  </si>
  <si>
    <t>CPU Peak (%)</t>
  </si>
  <si>
    <t>&lt; 800ms</t>
  </si>
  <si>
    <t>800-1200ms</t>
  </si>
  <si>
    <t>&gt; 1200ms</t>
  </si>
  <si>
    <t>&lt; 800ms (%)</t>
  </si>
  <si>
    <t>800-1200ms (%)</t>
  </si>
  <si>
    <t>&gt; 1200ms (%)</t>
  </si>
  <si>
    <t xml:space="preserve">Total Requests Prometheus </t>
  </si>
  <si>
    <t>Delta Gatling Prometheus</t>
  </si>
  <si>
    <t>Sync Status</t>
  </si>
  <si>
    <t>Error Status</t>
  </si>
  <si>
    <t>Timestamp</t>
  </si>
  <si>
    <t>Interop</t>
  </si>
  <si>
    <t>Idiomatic</t>
  </si>
  <si>
    <t>EXCELLENT</t>
  </si>
  <si>
    <t>2026-05-23 16:10:59</t>
  </si>
  <si>
    <t>Clojure-Idiomatic</t>
  </si>
  <si>
    <t>2026-05-23 16:24:39</t>
  </si>
  <si>
    <t>2026-05-23 16:36:52</t>
  </si>
  <si>
    <t>Clojure-Interop</t>
  </si>
  <si>
    <t>2026-05-23 16:52:49</t>
  </si>
  <si>
    <t>WARNING</t>
  </si>
  <si>
    <t>HIGH</t>
  </si>
  <si>
    <t>2026-05-23 17:07:25</t>
  </si>
  <si>
    <t>2026-05-23 17:19:06</t>
  </si>
  <si>
    <t>2026-05-23 17:32:18</t>
  </si>
  <si>
    <t>2026-05-23 17:51:39</t>
  </si>
  <si>
    <t>2026-05-23 18:04:35</t>
  </si>
  <si>
    <t>2026-05-23 18:17:56</t>
  </si>
  <si>
    <t>2026-05-23 18:32:03</t>
  </si>
  <si>
    <t>2026-05-23 18:44:49</t>
  </si>
  <si>
    <t>2026-05-23 18:58:08</t>
  </si>
  <si>
    <t>2026-05-23 19:10:36</t>
  </si>
  <si>
    <t>2026-05-23 19:26:19</t>
  </si>
  <si>
    <t>2026-05-23 19:39:08</t>
  </si>
  <si>
    <t>2026-05-23 19:53:16</t>
  </si>
  <si>
    <t>2026-05-23 20:06:03</t>
  </si>
  <si>
    <t>2026-05-23 20:19:13</t>
  </si>
  <si>
    <t>2026-05-23 20:31:44</t>
  </si>
  <si>
    <t>2026-05-23 20:44:53</t>
  </si>
  <si>
    <t>REQUEST BODY</t>
  </si>
  <si>
    <t>{</t>
  </si>
  <si>
    <t>"initialAmount": 10000.0,</t>
  </si>
  <si>
    <t>"annualInterestRate": 10.0,</t>
  </si>
  <si>
    <t>"years": 100</t>
  </si>
  <si>
    <t>}</t>
  </si>
  <si>
    <t>Java AVG (tab 3)</t>
  </si>
  <si>
    <t>Idiomatic AVG (tab 3)</t>
  </si>
  <si>
    <t>Interop AVG (tab 3)</t>
  </si>
  <si>
    <t>Best</t>
  </si>
  <si>
    <t>Δ</t>
  </si>
  <si>
    <t>Dimension</t>
  </si>
  <si>
    <t>100</t>
  </si>
  <si>
    <t>P95 Latency</t>
  </si>
  <si>
    <t>P99 Latency</t>
  </si>
  <si>
    <t>GC Overhead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</si>
</sst>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rgb="FFFFFFFF"/>
      <name val="Times New Roman"/>
    </font>
    <font>
      <b/>
      <sz val="12.0"/>
      <color rgb="FF000000"/>
      <name val="Times New Roman"/>
    </font>
    <font>
      <b/>
      <sz val="13.0"/>
      <color rgb="FFFFFFFF"/>
      <name val="Times New Roman"/>
    </font>
    <font>
      <color theme="1"/>
      <name val="Times New Roman"/>
    </font>
    <font>
      <sz val="12.0"/>
      <color rgb="FF000000"/>
      <name val="Times New Roman"/>
    </font>
    <font>
      <b/>
      <sz val="12.0"/>
      <color rgb="FFFF0000"/>
      <name val="Times New Roman"/>
    </font>
    <font>
      <sz val="12.0"/>
      <color theme="1"/>
      <name val="Times New Roman"/>
    </font>
    <font/>
    <font>
      <b/>
      <sz val="12.0"/>
      <color theme="1"/>
      <name val="Times New Roman"/>
    </font>
    <font>
      <sz val="12.0"/>
      <color rgb="FF555555"/>
      <name val="Times New Roman"/>
    </font>
    <font>
      <b/>
      <sz val="12.0"/>
      <color rgb="FF0000FF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0B5394"/>
        <bgColor rgb="FF0B5394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vertical="center"/>
    </xf>
    <xf borderId="2" fillId="5" fontId="2" numFmtId="0" xfId="0" applyAlignment="1" applyBorder="1" applyFill="1" applyFont="1">
      <alignment horizontal="center" vertical="center"/>
    </xf>
    <xf borderId="2" fillId="5" fontId="5" numFmtId="0" xfId="0" applyAlignment="1" applyBorder="1" applyFont="1">
      <alignment horizontal="center" vertical="center"/>
    </xf>
    <xf borderId="2" fillId="5" fontId="5" numFmtId="3" xfId="0" applyAlignment="1" applyBorder="1" applyFont="1" applyNumberFormat="1">
      <alignment horizontal="center" vertical="center"/>
    </xf>
    <xf borderId="1" fillId="5" fontId="5" numFmtId="0" xfId="0" applyAlignment="1" applyBorder="1" applyFont="1">
      <alignment horizontal="center" vertical="center"/>
    </xf>
    <xf borderId="1" fillId="5" fontId="5" numFmtId="3" xfId="0" applyAlignment="1" applyBorder="1" applyFont="1" applyNumberFormat="1">
      <alignment horizontal="center" vertical="center"/>
    </xf>
    <xf borderId="1" fillId="5" fontId="6" numFmtId="4" xfId="0" applyAlignment="1" applyBorder="1" applyFont="1" applyNumberFormat="1">
      <alignment horizontal="center" vertical="center"/>
    </xf>
    <xf borderId="2" fillId="0" fontId="7" numFmtId="4" xfId="0" applyAlignment="1" applyBorder="1" applyFont="1" applyNumberFormat="1">
      <alignment horizontal="center" vertical="center"/>
    </xf>
    <xf borderId="1" fillId="5" fontId="5" numFmtId="4" xfId="0" applyAlignment="1" applyBorder="1" applyFont="1" applyNumberFormat="1">
      <alignment horizontal="center" vertical="center"/>
    </xf>
    <xf borderId="1" fillId="4" fontId="5" numFmtId="4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3" fillId="0" fontId="8" numFmtId="0" xfId="0" applyBorder="1" applyFont="1"/>
    <xf borderId="1" fillId="4" fontId="5" numFmtId="0" xfId="0" applyAlignment="1" applyBorder="1" applyFont="1">
      <alignment horizontal="center" readingOrder="0" vertical="center"/>
    </xf>
    <xf borderId="4" fillId="0" fontId="8" numFmtId="0" xfId="0" applyBorder="1" applyFont="1"/>
    <xf borderId="2" fillId="6" fontId="2" numFmtId="0" xfId="0" applyAlignment="1" applyBorder="1" applyFill="1" applyFont="1">
      <alignment horizontal="center" vertical="center"/>
    </xf>
    <xf borderId="2" fillId="6" fontId="5" numFmtId="3" xfId="0" applyAlignment="1" applyBorder="1" applyFont="1" applyNumberFormat="1">
      <alignment horizontal="center" vertical="center"/>
    </xf>
    <xf borderId="1" fillId="6" fontId="5" numFmtId="3" xfId="0" applyAlignment="1" applyBorder="1" applyFont="1" applyNumberFormat="1">
      <alignment horizontal="center" vertical="center"/>
    </xf>
    <xf borderId="1" fillId="7" fontId="2" numFmtId="3" xfId="0" applyAlignment="1" applyBorder="1" applyFill="1" applyFont="1" applyNumberFormat="1">
      <alignment horizontal="center" vertical="center"/>
    </xf>
    <xf borderId="1" fillId="7" fontId="2" numFmtId="4" xfId="0" applyAlignment="1" applyBorder="1" applyFont="1" applyNumberFormat="1">
      <alignment horizontal="center" vertical="center"/>
    </xf>
    <xf borderId="1" fillId="7" fontId="2" numFmtId="0" xfId="0" applyAlignment="1" applyBorder="1" applyFont="1">
      <alignment horizontal="center" vertical="center"/>
    </xf>
    <xf borderId="1" fillId="8" fontId="2" numFmtId="3" xfId="0" applyAlignment="1" applyBorder="1" applyFill="1" applyFont="1" applyNumberFormat="1">
      <alignment horizontal="center" vertical="center"/>
    </xf>
    <xf borderId="1" fillId="8" fontId="2" numFmtId="4" xfId="0" applyAlignment="1" applyBorder="1" applyFont="1" applyNumberFormat="1">
      <alignment horizontal="center" vertical="center"/>
    </xf>
    <xf borderId="1" fillId="8" fontId="2" numFmtId="0" xfId="0" applyAlignment="1" applyBorder="1" applyFont="1">
      <alignment horizontal="center" vertical="center"/>
    </xf>
    <xf borderId="2" fillId="6" fontId="5" numFmtId="3" xfId="0" applyAlignment="1" applyBorder="1" applyFont="1" applyNumberFormat="1">
      <alignment horizontal="center" readingOrder="0" vertical="center"/>
    </xf>
    <xf borderId="1" fillId="6" fontId="5" numFmtId="4" xfId="0" applyAlignment="1" applyBorder="1" applyFont="1" applyNumberFormat="1">
      <alignment horizontal="center" vertical="center"/>
    </xf>
    <xf borderId="2" fillId="6" fontId="5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center" vertical="center"/>
    </xf>
    <xf borderId="2" fillId="5" fontId="5" numFmtId="3" xfId="0" applyAlignment="1" applyBorder="1" applyFont="1" applyNumberFormat="1">
      <alignment horizontal="center" readingOrder="0" vertical="center"/>
    </xf>
    <xf borderId="0" fillId="0" fontId="7" numFmtId="0" xfId="0" applyFont="1"/>
    <xf borderId="1" fillId="4" fontId="9" numFmtId="0" xfId="0" applyAlignment="1" applyBorder="1" applyFont="1">
      <alignment horizontal="center" vertical="bottom"/>
    </xf>
    <xf borderId="1" fillId="4" fontId="7" numFmtId="0" xfId="0" applyAlignment="1" applyBorder="1" applyFont="1">
      <alignment vertical="bottom"/>
    </xf>
    <xf borderId="0" fillId="0" fontId="10" numFmtId="0" xfId="0" applyFont="1"/>
    <xf borderId="1" fillId="3" fontId="1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1" fillId="5" fontId="7" numFmtId="0" xfId="0" applyAlignment="1" applyBorder="1" applyFont="1">
      <alignment horizontal="center" vertical="center"/>
    </xf>
    <xf borderId="1" fillId="5" fontId="11" numFmtId="4" xfId="0" applyAlignment="1" applyBorder="1" applyFont="1" applyNumberFormat="1">
      <alignment horizontal="center" vertical="center"/>
    </xf>
    <xf borderId="1" fillId="4" fontId="7" numFmtId="4" xfId="0" applyAlignment="1" applyBorder="1" applyFont="1" applyNumberFormat="1">
      <alignment horizontal="center" vertical="center"/>
    </xf>
    <xf borderId="4" fillId="4" fontId="7" numFmtId="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5.86"/>
    <col customWidth="1" min="2" max="2" width="13.71"/>
    <col customWidth="1" min="3" max="3" width="19.43"/>
    <col customWidth="1" min="4" max="4" width="15.43"/>
    <col customWidth="1" min="5" max="5" width="17.86"/>
    <col customWidth="1" min="6" max="6" width="16.57"/>
    <col customWidth="1" min="7" max="7" width="16.29"/>
    <col customWidth="1" min="8" max="8" width="9.14"/>
    <col customWidth="1" min="9" max="9" width="10.14"/>
    <col customWidth="1" min="10" max="10" width="11.57"/>
    <col customWidth="1" min="11" max="11" width="11.43"/>
    <col customWidth="1" min="12" max="12" width="22.71"/>
    <col customWidth="1" min="13" max="13" width="10.29"/>
    <col customWidth="1" min="14" max="16" width="11.43"/>
    <col customWidth="1" min="17" max="17" width="15.0"/>
    <col customWidth="1" min="18" max="18" width="16.0"/>
    <col customWidth="1" min="19" max="19" width="17.14"/>
    <col customWidth="1" min="20" max="20" width="16.14"/>
    <col customWidth="1" min="21" max="21" width="15.57"/>
    <col customWidth="1" hidden="1" min="22" max="22" width="9.29"/>
    <col customWidth="1" hidden="1" min="23" max="23" width="12.71"/>
    <col customWidth="1" hidden="1" min="24" max="24" width="10.43"/>
    <col customWidth="1" hidden="1" min="25" max="25" width="13.57"/>
    <col customWidth="1" hidden="1" min="26" max="26" width="17.14"/>
    <col customWidth="1" hidden="1" min="27" max="27" width="14.71"/>
    <col customWidth="1" min="28" max="28" width="15.43"/>
    <col customWidth="1" min="29" max="29" width="14.29"/>
    <col customWidth="1" min="30" max="31" width="15.29"/>
    <col customWidth="1" min="32" max="32" width="20.71"/>
  </cols>
  <sheetData>
    <row r="1" ht="44.25" customHeight="1">
      <c r="A1" s="2" t="s">
        <v>1</v>
      </c>
      <c r="B1" s="2" t="s">
        <v>0</v>
      </c>
      <c r="C1" s="2" t="s">
        <v>5</v>
      </c>
      <c r="D1" s="2" t="s">
        <v>7</v>
      </c>
      <c r="E1" s="2" t="s">
        <v>10</v>
      </c>
      <c r="F1" s="2" t="s">
        <v>12</v>
      </c>
      <c r="G1" s="2" t="s">
        <v>14</v>
      </c>
      <c r="H1" s="2" t="s">
        <v>18</v>
      </c>
      <c r="I1" s="2" t="s">
        <v>21</v>
      </c>
      <c r="J1" s="2" t="s">
        <v>24</v>
      </c>
      <c r="K1" s="2" t="s">
        <v>28</v>
      </c>
      <c r="L1" s="2" t="s">
        <v>30</v>
      </c>
      <c r="M1" s="2" t="s">
        <v>31</v>
      </c>
      <c r="N1" s="2" t="s">
        <v>32</v>
      </c>
      <c r="O1" s="2" t="s">
        <v>9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48</v>
      </c>
      <c r="AF1" s="2" t="s">
        <v>49</v>
      </c>
    </row>
    <row r="2" ht="20.25" customHeight="1">
      <c r="A2" s="6" t="s">
        <v>29</v>
      </c>
      <c r="B2" s="8">
        <v>1000.0</v>
      </c>
      <c r="C2" s="8">
        <v>5.0</v>
      </c>
      <c r="D2" s="8">
        <v>300000.0</v>
      </c>
      <c r="E2" s="10">
        <v>300000.0</v>
      </c>
      <c r="F2" s="10">
        <v>0.0</v>
      </c>
      <c r="G2" s="10">
        <v>0.0</v>
      </c>
      <c r="H2" s="10">
        <v>1000.0</v>
      </c>
      <c r="I2" s="10">
        <v>0.0</v>
      </c>
      <c r="J2" s="10">
        <v>486.0</v>
      </c>
      <c r="K2" s="10">
        <v>16804.0</v>
      </c>
      <c r="L2" s="10">
        <v>1695.0</v>
      </c>
      <c r="M2" s="10">
        <v>1.0</v>
      </c>
      <c r="N2" s="10">
        <v>1.0</v>
      </c>
      <c r="O2" s="10">
        <v>3393.0</v>
      </c>
      <c r="P2" s="10">
        <v>9255.0</v>
      </c>
      <c r="Q2" s="13">
        <v>1089.0</v>
      </c>
      <c r="R2" s="13">
        <v>14.0</v>
      </c>
      <c r="S2" s="13">
        <v>2.33</v>
      </c>
      <c r="T2" s="13">
        <v>38.0</v>
      </c>
      <c r="U2" s="13">
        <v>72.76</v>
      </c>
      <c r="V2" s="10">
        <v>300000.0</v>
      </c>
      <c r="W2" s="10">
        <v>0.0</v>
      </c>
      <c r="X2" s="10">
        <v>0.0</v>
      </c>
      <c r="Y2" s="10">
        <v>100.0</v>
      </c>
      <c r="Z2" s="10">
        <v>0.0</v>
      </c>
      <c r="AA2" s="10">
        <v>0.0</v>
      </c>
      <c r="AB2" s="10">
        <v>300086.0</v>
      </c>
      <c r="AC2" s="10">
        <v>86.0</v>
      </c>
      <c r="AD2" s="9" t="s">
        <v>52</v>
      </c>
      <c r="AE2" s="9" t="s">
        <v>52</v>
      </c>
      <c r="AF2" s="9" t="s">
        <v>53</v>
      </c>
    </row>
    <row r="3" ht="20.25" customHeight="1">
      <c r="A3" s="16"/>
      <c r="B3" s="16"/>
      <c r="C3" s="16"/>
      <c r="D3" s="16"/>
      <c r="E3" s="10">
        <v>300000.0</v>
      </c>
      <c r="F3" s="10">
        <v>0.0</v>
      </c>
      <c r="G3" s="10">
        <v>0.0</v>
      </c>
      <c r="H3" s="10">
        <v>1000.0</v>
      </c>
      <c r="I3" s="10">
        <v>0.0</v>
      </c>
      <c r="J3" s="10">
        <v>618.0</v>
      </c>
      <c r="K3" s="10">
        <v>17205.0</v>
      </c>
      <c r="L3" s="10">
        <v>1940.0</v>
      </c>
      <c r="M3" s="10">
        <v>1.0</v>
      </c>
      <c r="N3" s="10">
        <v>1.0</v>
      </c>
      <c r="O3" s="10">
        <v>5107.0</v>
      </c>
      <c r="P3" s="10">
        <v>9639.0</v>
      </c>
      <c r="Q3" s="13">
        <v>1053.0</v>
      </c>
      <c r="R3" s="13">
        <v>14.0</v>
      </c>
      <c r="S3" s="13">
        <v>2.33</v>
      </c>
      <c r="T3" s="13">
        <v>38.0</v>
      </c>
      <c r="U3" s="13">
        <v>77.01</v>
      </c>
      <c r="V3" s="10">
        <v>300000.0</v>
      </c>
      <c r="W3" s="10">
        <v>0.0</v>
      </c>
      <c r="X3" s="10">
        <v>0.0</v>
      </c>
      <c r="Y3" s="10">
        <v>100.0</v>
      </c>
      <c r="Z3" s="10">
        <v>0.0</v>
      </c>
      <c r="AA3" s="10">
        <v>0.0</v>
      </c>
      <c r="AB3" s="10">
        <v>300081.0</v>
      </c>
      <c r="AC3" s="10">
        <v>81.0</v>
      </c>
      <c r="AD3" s="9" t="s">
        <v>52</v>
      </c>
      <c r="AE3" s="9" t="s">
        <v>52</v>
      </c>
      <c r="AF3" s="9" t="s">
        <v>55</v>
      </c>
    </row>
    <row r="4" ht="20.25" customHeight="1">
      <c r="A4" s="16"/>
      <c r="B4" s="16"/>
      <c r="C4" s="16"/>
      <c r="D4" s="16"/>
      <c r="E4" s="10">
        <v>300000.0</v>
      </c>
      <c r="F4" s="10">
        <v>0.0</v>
      </c>
      <c r="G4" s="10">
        <v>0.0</v>
      </c>
      <c r="H4" s="10">
        <v>1000.0</v>
      </c>
      <c r="I4" s="10">
        <v>0.0</v>
      </c>
      <c r="J4" s="10">
        <v>939.0</v>
      </c>
      <c r="K4" s="10">
        <v>21011.0</v>
      </c>
      <c r="L4" s="10">
        <v>2673.0</v>
      </c>
      <c r="M4" s="10">
        <v>1.0</v>
      </c>
      <c r="N4" s="10">
        <v>1.0</v>
      </c>
      <c r="O4" s="10">
        <v>7843.0</v>
      </c>
      <c r="P4" s="10">
        <v>12476.0</v>
      </c>
      <c r="Q4" s="13">
        <v>810.0</v>
      </c>
      <c r="R4" s="13">
        <v>14.0</v>
      </c>
      <c r="S4" s="13">
        <v>2.32</v>
      </c>
      <c r="T4" s="13">
        <v>38.0</v>
      </c>
      <c r="U4" s="13">
        <v>80.05</v>
      </c>
      <c r="V4" s="10">
        <v>300000.0</v>
      </c>
      <c r="W4" s="10">
        <v>0.0</v>
      </c>
      <c r="X4" s="10">
        <v>0.0</v>
      </c>
      <c r="Y4" s="10">
        <v>100.0</v>
      </c>
      <c r="Z4" s="10">
        <v>0.0</v>
      </c>
      <c r="AA4" s="10">
        <v>0.0</v>
      </c>
      <c r="AB4" s="10">
        <v>300080.0</v>
      </c>
      <c r="AC4" s="10">
        <v>80.0</v>
      </c>
      <c r="AD4" s="9" t="s">
        <v>52</v>
      </c>
      <c r="AE4" s="9" t="s">
        <v>52</v>
      </c>
      <c r="AF4" s="9" t="s">
        <v>56</v>
      </c>
    </row>
    <row r="5" ht="20.25" customHeight="1">
      <c r="A5" s="16"/>
      <c r="B5" s="16"/>
      <c r="C5" s="16"/>
      <c r="D5" s="16"/>
      <c r="E5" s="10">
        <v>300000.0</v>
      </c>
      <c r="F5" s="10">
        <v>0.0</v>
      </c>
      <c r="G5" s="10">
        <v>0.0</v>
      </c>
      <c r="H5" s="10">
        <v>1000.0</v>
      </c>
      <c r="I5" s="10">
        <v>0.0</v>
      </c>
      <c r="J5" s="10">
        <v>679.0</v>
      </c>
      <c r="K5" s="10">
        <v>21386.0</v>
      </c>
      <c r="L5" s="10">
        <v>2023.0</v>
      </c>
      <c r="M5" s="10">
        <v>1.0</v>
      </c>
      <c r="N5" s="10">
        <v>1.0</v>
      </c>
      <c r="O5" s="10">
        <v>4678.0</v>
      </c>
      <c r="P5" s="10">
        <v>10635.0</v>
      </c>
      <c r="Q5" s="13">
        <v>1246.0</v>
      </c>
      <c r="R5" s="13">
        <v>14.0</v>
      </c>
      <c r="S5" s="13">
        <v>2.36</v>
      </c>
      <c r="T5" s="13">
        <v>39.0</v>
      </c>
      <c r="U5" s="13">
        <v>76.91</v>
      </c>
      <c r="V5" s="10">
        <v>300000.0</v>
      </c>
      <c r="W5" s="10">
        <v>0.0</v>
      </c>
      <c r="X5" s="10">
        <v>0.0</v>
      </c>
      <c r="Y5" s="10">
        <v>100.0</v>
      </c>
      <c r="Z5" s="10">
        <v>0.0</v>
      </c>
      <c r="AA5" s="10">
        <v>0.0</v>
      </c>
      <c r="AB5" s="10">
        <v>300098.0</v>
      </c>
      <c r="AC5" s="10">
        <v>98.0</v>
      </c>
      <c r="AD5" s="9" t="s">
        <v>52</v>
      </c>
      <c r="AE5" s="9" t="s">
        <v>52</v>
      </c>
      <c r="AF5" s="9" t="s">
        <v>58</v>
      </c>
    </row>
    <row r="6" ht="20.25" customHeight="1">
      <c r="A6" s="16"/>
      <c r="B6" s="16"/>
      <c r="C6" s="16"/>
      <c r="D6" s="16"/>
      <c r="E6" s="22">
        <v>224696.0</v>
      </c>
      <c r="F6" s="22">
        <v>75304.0</v>
      </c>
      <c r="G6" s="22">
        <v>25.1</v>
      </c>
      <c r="H6" s="22">
        <v>697.67</v>
      </c>
      <c r="I6" s="22">
        <v>2.0</v>
      </c>
      <c r="J6" s="22">
        <v>59645.0</v>
      </c>
      <c r="K6" s="22">
        <v>286227.0</v>
      </c>
      <c r="L6" s="22">
        <v>49467.0</v>
      </c>
      <c r="M6" s="22">
        <v>46319.0</v>
      </c>
      <c r="N6" s="22">
        <v>100660.0</v>
      </c>
      <c r="O6" s="22">
        <v>145846.0</v>
      </c>
      <c r="P6" s="22">
        <v>178527.0</v>
      </c>
      <c r="Q6" s="23">
        <v>9631.0</v>
      </c>
      <c r="R6" s="23">
        <v>54.0</v>
      </c>
      <c r="S6" s="23">
        <v>0.75</v>
      </c>
      <c r="T6" s="23">
        <v>12.0</v>
      </c>
      <c r="U6" s="23">
        <v>89.63</v>
      </c>
      <c r="V6" s="22">
        <v>300000.0</v>
      </c>
      <c r="W6" s="22">
        <v>0.0</v>
      </c>
      <c r="X6" s="22">
        <v>0.0</v>
      </c>
      <c r="Y6" s="22">
        <v>100.0</v>
      </c>
      <c r="Z6" s="22">
        <v>0.0</v>
      </c>
      <c r="AA6" s="22">
        <v>0.0</v>
      </c>
      <c r="AB6" s="22">
        <v>234415.0</v>
      </c>
      <c r="AC6" s="22">
        <v>9719.0</v>
      </c>
      <c r="AD6" s="24" t="s">
        <v>59</v>
      </c>
      <c r="AE6" s="24" t="s">
        <v>60</v>
      </c>
      <c r="AF6" s="24" t="s">
        <v>61</v>
      </c>
    </row>
    <row r="7" ht="20.25" customHeight="1">
      <c r="A7" s="16"/>
      <c r="B7" s="16"/>
      <c r="C7" s="16"/>
      <c r="D7" s="16"/>
      <c r="E7" s="25">
        <v>300000.0</v>
      </c>
      <c r="F7" s="25">
        <v>0.0</v>
      </c>
      <c r="G7" s="25">
        <v>0.0</v>
      </c>
      <c r="H7" s="25">
        <v>1000.0</v>
      </c>
      <c r="I7" s="25">
        <v>0.0</v>
      </c>
      <c r="J7" s="25">
        <v>1.0</v>
      </c>
      <c r="K7" s="25">
        <v>382.0</v>
      </c>
      <c r="L7" s="25">
        <v>8.0</v>
      </c>
      <c r="M7" s="25">
        <v>1.0</v>
      </c>
      <c r="N7" s="25">
        <v>1.0</v>
      </c>
      <c r="O7" s="25">
        <v>1.0</v>
      </c>
      <c r="P7" s="25">
        <v>2.0</v>
      </c>
      <c r="Q7" s="26">
        <v>90.0</v>
      </c>
      <c r="R7" s="26">
        <v>6.0</v>
      </c>
      <c r="S7" s="26">
        <v>2.52</v>
      </c>
      <c r="T7" s="26">
        <v>42.0</v>
      </c>
      <c r="U7" s="26">
        <v>56.47</v>
      </c>
      <c r="V7" s="25">
        <v>300000.0</v>
      </c>
      <c r="W7" s="25">
        <v>0.0</v>
      </c>
      <c r="X7" s="25">
        <v>0.0</v>
      </c>
      <c r="Y7" s="25">
        <v>100.0</v>
      </c>
      <c r="Z7" s="25">
        <v>0.0</v>
      </c>
      <c r="AA7" s="25">
        <v>0.0</v>
      </c>
      <c r="AB7" s="25">
        <v>300082.0</v>
      </c>
      <c r="AC7" s="25">
        <v>82.0</v>
      </c>
      <c r="AD7" s="27" t="s">
        <v>52</v>
      </c>
      <c r="AE7" s="27" t="s">
        <v>52</v>
      </c>
      <c r="AF7" s="27" t="s">
        <v>62</v>
      </c>
    </row>
    <row r="8" ht="20.25" customHeight="1">
      <c r="A8" s="18"/>
      <c r="B8" s="18"/>
      <c r="C8" s="18"/>
      <c r="D8" s="18"/>
      <c r="E8" s="10">
        <v>300000.0</v>
      </c>
      <c r="F8" s="10">
        <v>0.0</v>
      </c>
      <c r="G8" s="10">
        <v>0.0</v>
      </c>
      <c r="H8" s="10">
        <v>1000.0</v>
      </c>
      <c r="I8" s="10">
        <v>0.0</v>
      </c>
      <c r="J8" s="10">
        <v>807.0</v>
      </c>
      <c r="K8" s="10">
        <v>22295.0</v>
      </c>
      <c r="L8" s="10">
        <v>2371.0</v>
      </c>
      <c r="M8" s="10">
        <v>1.0</v>
      </c>
      <c r="N8" s="10">
        <v>1.0</v>
      </c>
      <c r="O8" s="10">
        <v>6490.0</v>
      </c>
      <c r="P8" s="10">
        <v>11775.0</v>
      </c>
      <c r="Q8" s="13">
        <v>922.0</v>
      </c>
      <c r="R8" s="13">
        <v>14.0</v>
      </c>
      <c r="S8" s="13">
        <v>2.35</v>
      </c>
      <c r="T8" s="13">
        <v>39.0</v>
      </c>
      <c r="U8" s="13">
        <v>78.6</v>
      </c>
      <c r="V8" s="10">
        <v>300000.0</v>
      </c>
      <c r="W8" s="10">
        <v>0.0</v>
      </c>
      <c r="X8" s="10">
        <v>0.0</v>
      </c>
      <c r="Y8" s="10">
        <v>100.0</v>
      </c>
      <c r="Z8" s="10">
        <v>0.0</v>
      </c>
      <c r="AA8" s="10">
        <v>0.0</v>
      </c>
      <c r="AB8" s="10">
        <v>300081.0</v>
      </c>
      <c r="AC8" s="10">
        <v>81.0</v>
      </c>
      <c r="AD8" s="9" t="s">
        <v>52</v>
      </c>
      <c r="AE8" s="9" t="s">
        <v>52</v>
      </c>
      <c r="AF8" s="9" t="s">
        <v>63</v>
      </c>
    </row>
    <row r="9" ht="20.25" customHeight="1">
      <c r="A9" s="19" t="s">
        <v>54</v>
      </c>
      <c r="B9" s="28">
        <v>1000.0</v>
      </c>
      <c r="C9" s="20">
        <v>5.0</v>
      </c>
      <c r="D9" s="28">
        <v>300000.0</v>
      </c>
      <c r="E9" s="20">
        <v>300000.0</v>
      </c>
      <c r="F9" s="20">
        <v>0.0</v>
      </c>
      <c r="G9" s="20">
        <v>0.0</v>
      </c>
      <c r="H9" s="20">
        <v>1000.0</v>
      </c>
      <c r="I9" s="20">
        <v>0.0</v>
      </c>
      <c r="J9" s="21">
        <v>888.0</v>
      </c>
      <c r="K9" s="21">
        <v>19397.0</v>
      </c>
      <c r="L9" s="21">
        <v>2531.0</v>
      </c>
      <c r="M9" s="20">
        <v>1.0</v>
      </c>
      <c r="N9" s="20">
        <v>1.0</v>
      </c>
      <c r="O9" s="21">
        <v>7779.0</v>
      </c>
      <c r="P9" s="21">
        <v>11586.0</v>
      </c>
      <c r="Q9" s="29">
        <v>1309.0</v>
      </c>
      <c r="R9" s="29">
        <v>18.0</v>
      </c>
      <c r="S9" s="29">
        <v>2.35</v>
      </c>
      <c r="T9" s="29">
        <v>39.0</v>
      </c>
      <c r="U9" s="29">
        <v>79.89</v>
      </c>
      <c r="V9" s="21">
        <v>300000.0</v>
      </c>
      <c r="W9" s="21">
        <v>0.0</v>
      </c>
      <c r="X9" s="21">
        <v>0.0</v>
      </c>
      <c r="Y9" s="21">
        <v>100.0</v>
      </c>
      <c r="Z9" s="21">
        <v>0.0</v>
      </c>
      <c r="AA9" s="21">
        <v>0.0</v>
      </c>
      <c r="AB9" s="21">
        <v>300086.0</v>
      </c>
      <c r="AC9" s="21">
        <v>86.0</v>
      </c>
      <c r="AD9" s="30" t="s">
        <v>52</v>
      </c>
      <c r="AE9" s="30" t="s">
        <v>52</v>
      </c>
      <c r="AF9" s="31" t="s">
        <v>64</v>
      </c>
    </row>
    <row r="10" ht="20.25" customHeight="1">
      <c r="A10" s="16"/>
      <c r="B10" s="16"/>
      <c r="C10" s="16"/>
      <c r="D10" s="16"/>
      <c r="E10" s="16"/>
      <c r="F10" s="16"/>
      <c r="G10" s="16"/>
      <c r="H10" s="16"/>
      <c r="I10" s="16"/>
      <c r="J10" s="21">
        <v>607.0</v>
      </c>
      <c r="K10" s="21">
        <v>15482.0</v>
      </c>
      <c r="L10" s="21">
        <v>1915.0</v>
      </c>
      <c r="M10" s="16"/>
      <c r="N10" s="16"/>
      <c r="O10" s="21">
        <v>5081.0</v>
      </c>
      <c r="P10" s="21">
        <v>9892.0</v>
      </c>
      <c r="Q10" s="29">
        <v>725.0</v>
      </c>
      <c r="R10" s="29">
        <v>14.0</v>
      </c>
      <c r="S10" s="29">
        <v>2.19</v>
      </c>
      <c r="T10" s="29">
        <v>36.0</v>
      </c>
      <c r="U10" s="29">
        <v>80.35</v>
      </c>
      <c r="V10" s="21">
        <v>300000.0</v>
      </c>
      <c r="W10" s="21">
        <v>0.0</v>
      </c>
      <c r="X10" s="21">
        <v>0.0</v>
      </c>
      <c r="Y10" s="21">
        <v>100.0</v>
      </c>
      <c r="Z10" s="21">
        <v>0.0</v>
      </c>
      <c r="AA10" s="21">
        <v>0.0</v>
      </c>
      <c r="AB10" s="21">
        <v>300080.0</v>
      </c>
      <c r="AC10" s="21">
        <v>80.0</v>
      </c>
      <c r="AD10" s="16"/>
      <c r="AE10" s="16"/>
      <c r="AF10" s="31" t="s">
        <v>65</v>
      </c>
    </row>
    <row r="11" ht="20.25" customHeight="1">
      <c r="A11" s="16"/>
      <c r="B11" s="16"/>
      <c r="C11" s="16"/>
      <c r="D11" s="16"/>
      <c r="E11" s="16"/>
      <c r="F11" s="16"/>
      <c r="G11" s="16"/>
      <c r="H11" s="16"/>
      <c r="I11" s="16"/>
      <c r="J11" s="21">
        <v>907.0</v>
      </c>
      <c r="K11" s="21">
        <v>18351.0</v>
      </c>
      <c r="L11" s="21">
        <v>2491.0</v>
      </c>
      <c r="M11" s="16"/>
      <c r="N11" s="16"/>
      <c r="O11" s="21">
        <v>7235.0</v>
      </c>
      <c r="P11" s="21">
        <v>11335.0</v>
      </c>
      <c r="Q11" s="29">
        <v>1338.0</v>
      </c>
      <c r="R11" s="29">
        <v>18.0</v>
      </c>
      <c r="S11" s="29">
        <v>2.32</v>
      </c>
      <c r="T11" s="29">
        <v>38.0</v>
      </c>
      <c r="U11" s="29">
        <v>72.74</v>
      </c>
      <c r="V11" s="21">
        <v>300000.0</v>
      </c>
      <c r="W11" s="21">
        <v>0.0</v>
      </c>
      <c r="X11" s="21">
        <v>0.0</v>
      </c>
      <c r="Y11" s="21">
        <v>100.0</v>
      </c>
      <c r="Z11" s="21">
        <v>0.0</v>
      </c>
      <c r="AA11" s="21">
        <v>0.0</v>
      </c>
      <c r="AB11" s="21">
        <v>300081.0</v>
      </c>
      <c r="AC11" s="21">
        <v>81.0</v>
      </c>
      <c r="AD11" s="16"/>
      <c r="AE11" s="16"/>
      <c r="AF11" s="31" t="s">
        <v>66</v>
      </c>
    </row>
    <row r="12" ht="20.25" customHeight="1">
      <c r="A12" s="16"/>
      <c r="B12" s="16"/>
      <c r="C12" s="16"/>
      <c r="D12" s="16"/>
      <c r="E12" s="16"/>
      <c r="F12" s="16"/>
      <c r="G12" s="16"/>
      <c r="H12" s="16"/>
      <c r="I12" s="16"/>
      <c r="J12" s="21">
        <v>833.0</v>
      </c>
      <c r="K12" s="21">
        <v>17989.0</v>
      </c>
      <c r="L12" s="21">
        <v>2452.0</v>
      </c>
      <c r="M12" s="16"/>
      <c r="N12" s="16"/>
      <c r="O12" s="21">
        <v>6656.0</v>
      </c>
      <c r="P12" s="21">
        <v>12002.0</v>
      </c>
      <c r="Q12" s="29">
        <v>1107.0</v>
      </c>
      <c r="R12" s="29">
        <v>17.0</v>
      </c>
      <c r="S12" s="29">
        <v>2.34</v>
      </c>
      <c r="T12" s="29">
        <v>39.0</v>
      </c>
      <c r="U12" s="29">
        <v>81.35</v>
      </c>
      <c r="V12" s="21">
        <v>300000.0</v>
      </c>
      <c r="W12" s="21">
        <v>0.0</v>
      </c>
      <c r="X12" s="21">
        <v>0.0</v>
      </c>
      <c r="Y12" s="21">
        <v>100.0</v>
      </c>
      <c r="Z12" s="21">
        <v>0.0</v>
      </c>
      <c r="AA12" s="21">
        <v>0.0</v>
      </c>
      <c r="AB12" s="21">
        <v>300079.0</v>
      </c>
      <c r="AC12" s="21">
        <v>79.0</v>
      </c>
      <c r="AD12" s="16"/>
      <c r="AE12" s="16"/>
      <c r="AF12" s="31" t="s">
        <v>67</v>
      </c>
    </row>
    <row r="13" ht="20.25" customHeight="1">
      <c r="A13" s="16"/>
      <c r="B13" s="16"/>
      <c r="C13" s="16"/>
      <c r="D13" s="16"/>
      <c r="E13" s="16"/>
      <c r="F13" s="16"/>
      <c r="G13" s="16"/>
      <c r="H13" s="16"/>
      <c r="I13" s="16"/>
      <c r="J13" s="21">
        <v>757.0</v>
      </c>
      <c r="K13" s="21">
        <v>18106.0</v>
      </c>
      <c r="L13" s="21">
        <v>2267.0</v>
      </c>
      <c r="M13" s="16"/>
      <c r="N13" s="16"/>
      <c r="O13" s="21">
        <v>6412.0</v>
      </c>
      <c r="P13" s="21">
        <v>10993.0</v>
      </c>
      <c r="Q13" s="29">
        <v>1645.0</v>
      </c>
      <c r="R13" s="29">
        <v>18.0</v>
      </c>
      <c r="S13" s="29">
        <v>2.25</v>
      </c>
      <c r="T13" s="29">
        <v>37.0</v>
      </c>
      <c r="U13" s="29">
        <v>79.2</v>
      </c>
      <c r="V13" s="21">
        <v>300000.0</v>
      </c>
      <c r="W13" s="21">
        <v>0.0</v>
      </c>
      <c r="X13" s="21">
        <v>0.0</v>
      </c>
      <c r="Y13" s="21">
        <v>100.0</v>
      </c>
      <c r="Z13" s="21">
        <v>0.0</v>
      </c>
      <c r="AA13" s="21">
        <v>0.0</v>
      </c>
      <c r="AB13" s="21">
        <v>300082.0</v>
      </c>
      <c r="AC13" s="21">
        <v>82.0</v>
      </c>
      <c r="AD13" s="16"/>
      <c r="AE13" s="16"/>
      <c r="AF13" s="31" t="s">
        <v>68</v>
      </c>
    </row>
    <row r="14" ht="20.25" customHeight="1">
      <c r="A14" s="16"/>
      <c r="B14" s="16"/>
      <c r="C14" s="16"/>
      <c r="D14" s="16"/>
      <c r="E14" s="16"/>
      <c r="F14" s="16"/>
      <c r="G14" s="16"/>
      <c r="H14" s="16"/>
      <c r="I14" s="16"/>
      <c r="J14" s="21">
        <v>1100.0</v>
      </c>
      <c r="K14" s="21">
        <v>23596.0</v>
      </c>
      <c r="L14" s="21">
        <v>3027.0</v>
      </c>
      <c r="M14" s="16"/>
      <c r="N14" s="16"/>
      <c r="O14" s="21">
        <v>7453.0</v>
      </c>
      <c r="P14" s="21">
        <v>15042.0</v>
      </c>
      <c r="Q14" s="29">
        <v>1562.0</v>
      </c>
      <c r="R14" s="29">
        <v>19.0</v>
      </c>
      <c r="S14" s="29">
        <v>2.33</v>
      </c>
      <c r="T14" s="29">
        <v>38.0</v>
      </c>
      <c r="U14" s="29">
        <v>78.53</v>
      </c>
      <c r="V14" s="21">
        <v>300000.0</v>
      </c>
      <c r="W14" s="21">
        <v>0.0</v>
      </c>
      <c r="X14" s="21">
        <v>0.0</v>
      </c>
      <c r="Y14" s="21">
        <v>100.0</v>
      </c>
      <c r="Z14" s="21">
        <v>0.0</v>
      </c>
      <c r="AA14" s="21">
        <v>0.0</v>
      </c>
      <c r="AB14" s="21">
        <v>300080.0</v>
      </c>
      <c r="AC14" s="21">
        <v>80.0</v>
      </c>
      <c r="AD14" s="16"/>
      <c r="AE14" s="16"/>
      <c r="AF14" s="31" t="s">
        <v>69</v>
      </c>
    </row>
    <row r="15" ht="20.25" customHeight="1">
      <c r="A15" s="18"/>
      <c r="B15" s="18"/>
      <c r="C15" s="18"/>
      <c r="D15" s="18"/>
      <c r="E15" s="18"/>
      <c r="F15" s="18"/>
      <c r="G15" s="18"/>
      <c r="H15" s="18"/>
      <c r="I15" s="18"/>
      <c r="J15" s="21">
        <v>860.0</v>
      </c>
      <c r="K15" s="21">
        <v>23278.0</v>
      </c>
      <c r="L15" s="21">
        <v>2517.0</v>
      </c>
      <c r="M15" s="18"/>
      <c r="N15" s="18"/>
      <c r="O15" s="21">
        <v>6855.0</v>
      </c>
      <c r="P15" s="21">
        <v>12077.0</v>
      </c>
      <c r="Q15" s="29">
        <v>1381.0</v>
      </c>
      <c r="R15" s="29">
        <v>17.0</v>
      </c>
      <c r="S15" s="29">
        <v>2.33</v>
      </c>
      <c r="T15" s="29">
        <v>38.0</v>
      </c>
      <c r="U15" s="29">
        <v>78.65</v>
      </c>
      <c r="V15" s="21">
        <v>300000.0</v>
      </c>
      <c r="W15" s="21">
        <v>0.0</v>
      </c>
      <c r="X15" s="21">
        <v>0.0</v>
      </c>
      <c r="Y15" s="21">
        <v>100.0</v>
      </c>
      <c r="Z15" s="21">
        <v>0.0</v>
      </c>
      <c r="AA15" s="21">
        <v>0.0</v>
      </c>
      <c r="AB15" s="21">
        <v>300082.0</v>
      </c>
      <c r="AC15" s="21">
        <v>82.0</v>
      </c>
      <c r="AD15" s="18"/>
      <c r="AE15" s="18"/>
      <c r="AF15" s="31" t="s">
        <v>70</v>
      </c>
    </row>
    <row r="16" ht="20.25" customHeight="1">
      <c r="A16" s="6" t="s">
        <v>57</v>
      </c>
      <c r="B16" s="32">
        <v>1000.0</v>
      </c>
      <c r="C16" s="8">
        <v>5.0</v>
      </c>
      <c r="D16" s="32">
        <v>300000.0</v>
      </c>
      <c r="E16" s="8">
        <v>300000.0</v>
      </c>
      <c r="F16" s="8">
        <v>0.0</v>
      </c>
      <c r="G16" s="8">
        <v>0.0</v>
      </c>
      <c r="H16" s="8">
        <v>1000.0</v>
      </c>
      <c r="I16" s="8">
        <v>0.0</v>
      </c>
      <c r="J16" s="10">
        <v>678.0</v>
      </c>
      <c r="K16" s="10">
        <v>19097.0</v>
      </c>
      <c r="L16" s="10">
        <v>2083.0</v>
      </c>
      <c r="M16" s="8">
        <v>1.0</v>
      </c>
      <c r="N16" s="8">
        <v>1.0</v>
      </c>
      <c r="O16" s="10">
        <v>5296.0</v>
      </c>
      <c r="P16" s="10">
        <v>10520.0</v>
      </c>
      <c r="Q16" s="13">
        <v>1196.0</v>
      </c>
      <c r="R16" s="13">
        <v>15.0</v>
      </c>
      <c r="S16" s="13">
        <v>2.37</v>
      </c>
      <c r="T16" s="13">
        <v>39.0</v>
      </c>
      <c r="U16" s="13">
        <v>81.05</v>
      </c>
      <c r="V16" s="10">
        <v>300000.0</v>
      </c>
      <c r="W16" s="10">
        <v>0.0</v>
      </c>
      <c r="X16" s="10">
        <v>0.0</v>
      </c>
      <c r="Y16" s="10">
        <v>100.0</v>
      </c>
      <c r="Z16" s="10">
        <v>0.0</v>
      </c>
      <c r="AA16" s="10">
        <v>0.0</v>
      </c>
      <c r="AB16" s="10">
        <v>300083.0</v>
      </c>
      <c r="AC16" s="10">
        <v>83.0</v>
      </c>
      <c r="AD16" s="7" t="s">
        <v>52</v>
      </c>
      <c r="AE16" s="7" t="s">
        <v>52</v>
      </c>
      <c r="AF16" s="9" t="s">
        <v>71</v>
      </c>
    </row>
    <row r="17" ht="20.25" customHeight="1">
      <c r="A17" s="16"/>
      <c r="B17" s="16"/>
      <c r="C17" s="16"/>
      <c r="D17" s="16"/>
      <c r="E17" s="16"/>
      <c r="F17" s="16"/>
      <c r="G17" s="16"/>
      <c r="H17" s="16"/>
      <c r="I17" s="16"/>
      <c r="J17" s="10">
        <v>630.0</v>
      </c>
      <c r="K17" s="10">
        <v>15823.0</v>
      </c>
      <c r="L17" s="10">
        <v>1992.0</v>
      </c>
      <c r="M17" s="16"/>
      <c r="N17" s="16"/>
      <c r="O17" s="10">
        <v>5497.0</v>
      </c>
      <c r="P17" s="10">
        <v>10166.0</v>
      </c>
      <c r="Q17" s="13">
        <v>1331.0</v>
      </c>
      <c r="R17" s="13">
        <v>15.0</v>
      </c>
      <c r="S17" s="13">
        <v>2.37</v>
      </c>
      <c r="T17" s="13">
        <v>39.0</v>
      </c>
      <c r="U17" s="13">
        <v>80.45</v>
      </c>
      <c r="V17" s="10">
        <v>300000.0</v>
      </c>
      <c r="W17" s="10">
        <v>0.0</v>
      </c>
      <c r="X17" s="10">
        <v>0.0</v>
      </c>
      <c r="Y17" s="10">
        <v>100.0</v>
      </c>
      <c r="Z17" s="10">
        <v>0.0</v>
      </c>
      <c r="AA17" s="10">
        <v>0.0</v>
      </c>
      <c r="AB17" s="10">
        <v>300081.0</v>
      </c>
      <c r="AC17" s="10">
        <v>81.0</v>
      </c>
      <c r="AD17" s="16"/>
      <c r="AE17" s="16"/>
      <c r="AF17" s="9" t="s">
        <v>72</v>
      </c>
    </row>
    <row r="18" ht="20.25" customHeight="1">
      <c r="A18" s="16"/>
      <c r="B18" s="16"/>
      <c r="C18" s="16"/>
      <c r="D18" s="16"/>
      <c r="E18" s="16"/>
      <c r="F18" s="16"/>
      <c r="G18" s="16"/>
      <c r="H18" s="16"/>
      <c r="I18" s="16"/>
      <c r="J18" s="10">
        <v>749.0</v>
      </c>
      <c r="K18" s="10">
        <v>16278.0</v>
      </c>
      <c r="L18" s="10">
        <v>2200.0</v>
      </c>
      <c r="M18" s="16"/>
      <c r="N18" s="16"/>
      <c r="O18" s="10">
        <v>6387.0</v>
      </c>
      <c r="P18" s="10">
        <v>10697.0</v>
      </c>
      <c r="Q18" s="13">
        <v>1127.0</v>
      </c>
      <c r="R18" s="13">
        <v>14.0</v>
      </c>
      <c r="S18" s="13">
        <v>2.32</v>
      </c>
      <c r="T18" s="13">
        <v>38.0</v>
      </c>
      <c r="U18" s="13">
        <v>75.42</v>
      </c>
      <c r="V18" s="10">
        <v>300000.0</v>
      </c>
      <c r="W18" s="10">
        <v>0.0</v>
      </c>
      <c r="X18" s="10">
        <v>0.0</v>
      </c>
      <c r="Y18" s="10">
        <v>100.0</v>
      </c>
      <c r="Z18" s="10">
        <v>0.0</v>
      </c>
      <c r="AA18" s="10">
        <v>0.0</v>
      </c>
      <c r="AB18" s="10">
        <v>300079.0</v>
      </c>
      <c r="AC18" s="10">
        <v>79.0</v>
      </c>
      <c r="AD18" s="16"/>
      <c r="AE18" s="16"/>
      <c r="AF18" s="9" t="s">
        <v>73</v>
      </c>
    </row>
    <row r="19" ht="20.25" customHeight="1">
      <c r="A19" s="16"/>
      <c r="B19" s="16"/>
      <c r="C19" s="16"/>
      <c r="D19" s="16"/>
      <c r="E19" s="16"/>
      <c r="F19" s="16"/>
      <c r="G19" s="16"/>
      <c r="H19" s="16"/>
      <c r="I19" s="16"/>
      <c r="J19" s="10">
        <v>719.0</v>
      </c>
      <c r="K19" s="10">
        <v>16497.0</v>
      </c>
      <c r="L19" s="10">
        <v>2194.0</v>
      </c>
      <c r="M19" s="16"/>
      <c r="N19" s="16"/>
      <c r="O19" s="10">
        <v>6350.0</v>
      </c>
      <c r="P19" s="10">
        <v>10678.0</v>
      </c>
      <c r="Q19" s="13">
        <v>1122.0</v>
      </c>
      <c r="R19" s="13">
        <v>14.0</v>
      </c>
      <c r="S19" s="13">
        <v>2.34</v>
      </c>
      <c r="T19" s="13">
        <v>39.0</v>
      </c>
      <c r="U19" s="13">
        <v>76.54</v>
      </c>
      <c r="V19" s="10">
        <v>300000.0</v>
      </c>
      <c r="W19" s="10">
        <v>0.0</v>
      </c>
      <c r="X19" s="10">
        <v>0.0</v>
      </c>
      <c r="Y19" s="10">
        <v>100.0</v>
      </c>
      <c r="Z19" s="10">
        <v>0.0</v>
      </c>
      <c r="AA19" s="10">
        <v>0.0</v>
      </c>
      <c r="AB19" s="10">
        <v>300080.0</v>
      </c>
      <c r="AC19" s="10">
        <v>80.0</v>
      </c>
      <c r="AD19" s="16"/>
      <c r="AE19" s="16"/>
      <c r="AF19" s="9" t="s">
        <v>74</v>
      </c>
    </row>
    <row r="20" ht="20.25" customHeight="1">
      <c r="A20" s="16"/>
      <c r="B20" s="16"/>
      <c r="C20" s="16"/>
      <c r="D20" s="16"/>
      <c r="E20" s="16"/>
      <c r="F20" s="16"/>
      <c r="G20" s="16"/>
      <c r="H20" s="16"/>
      <c r="I20" s="16"/>
      <c r="J20" s="10">
        <v>569.0</v>
      </c>
      <c r="K20" s="10">
        <v>15910.0</v>
      </c>
      <c r="L20" s="10">
        <v>1818.0</v>
      </c>
      <c r="M20" s="16"/>
      <c r="N20" s="16"/>
      <c r="O20" s="10">
        <v>4938.0</v>
      </c>
      <c r="P20" s="10">
        <v>9397.0</v>
      </c>
      <c r="Q20" s="13">
        <v>982.0</v>
      </c>
      <c r="R20" s="13">
        <v>13.0</v>
      </c>
      <c r="S20" s="13">
        <v>2.34</v>
      </c>
      <c r="T20" s="13">
        <v>39.0</v>
      </c>
      <c r="U20" s="13">
        <v>76.08</v>
      </c>
      <c r="V20" s="10">
        <v>300000.0</v>
      </c>
      <c r="W20" s="10">
        <v>0.0</v>
      </c>
      <c r="X20" s="10">
        <v>0.0</v>
      </c>
      <c r="Y20" s="10">
        <v>100.0</v>
      </c>
      <c r="Z20" s="10">
        <v>0.0</v>
      </c>
      <c r="AA20" s="10">
        <v>0.0</v>
      </c>
      <c r="AB20" s="10">
        <v>300080.0</v>
      </c>
      <c r="AC20" s="10">
        <v>80.0</v>
      </c>
      <c r="AD20" s="16"/>
      <c r="AE20" s="16"/>
      <c r="AF20" s="9" t="s">
        <v>75</v>
      </c>
    </row>
    <row r="21" ht="20.25" customHeight="1">
      <c r="A21" s="16"/>
      <c r="B21" s="16"/>
      <c r="C21" s="16"/>
      <c r="D21" s="16"/>
      <c r="E21" s="16"/>
      <c r="F21" s="16"/>
      <c r="G21" s="16"/>
      <c r="H21" s="16"/>
      <c r="I21" s="16"/>
      <c r="J21" s="10">
        <v>814.0</v>
      </c>
      <c r="K21" s="10">
        <v>24699.0</v>
      </c>
      <c r="L21" s="10">
        <v>2500.0</v>
      </c>
      <c r="M21" s="16"/>
      <c r="N21" s="16"/>
      <c r="O21" s="10">
        <v>5917.0</v>
      </c>
      <c r="P21" s="10">
        <v>12455.0</v>
      </c>
      <c r="Q21" s="13">
        <v>1231.0</v>
      </c>
      <c r="R21" s="13">
        <v>13.0</v>
      </c>
      <c r="S21" s="13">
        <v>2.35</v>
      </c>
      <c r="T21" s="13">
        <v>39.0</v>
      </c>
      <c r="U21" s="13">
        <v>75.08</v>
      </c>
      <c r="V21" s="10">
        <v>300000.0</v>
      </c>
      <c r="W21" s="10">
        <v>0.0</v>
      </c>
      <c r="X21" s="10">
        <v>0.0</v>
      </c>
      <c r="Y21" s="10">
        <v>100.0</v>
      </c>
      <c r="Z21" s="10">
        <v>0.0</v>
      </c>
      <c r="AA21" s="10">
        <v>0.0</v>
      </c>
      <c r="AB21" s="10">
        <v>300081.0</v>
      </c>
      <c r="AC21" s="10">
        <v>81.0</v>
      </c>
      <c r="AD21" s="16"/>
      <c r="AE21" s="16"/>
      <c r="AF21" s="9" t="s">
        <v>76</v>
      </c>
    </row>
    <row r="22" ht="20.25" customHeight="1">
      <c r="A22" s="18"/>
      <c r="B22" s="18"/>
      <c r="C22" s="18"/>
      <c r="D22" s="18"/>
      <c r="E22" s="18"/>
      <c r="F22" s="18"/>
      <c r="G22" s="18"/>
      <c r="H22" s="18"/>
      <c r="I22" s="18"/>
      <c r="J22" s="10">
        <v>903.0</v>
      </c>
      <c r="K22" s="10">
        <v>19275.0</v>
      </c>
      <c r="L22" s="10">
        <v>2599.0</v>
      </c>
      <c r="M22" s="18"/>
      <c r="N22" s="18"/>
      <c r="O22" s="10">
        <v>7800.0</v>
      </c>
      <c r="P22" s="10">
        <v>11817.0</v>
      </c>
      <c r="Q22" s="13">
        <v>938.0</v>
      </c>
      <c r="R22" s="13">
        <v>13.0</v>
      </c>
      <c r="S22" s="13">
        <v>2.34</v>
      </c>
      <c r="T22" s="13">
        <v>39.0</v>
      </c>
      <c r="U22" s="13">
        <v>79.07</v>
      </c>
      <c r="V22" s="10">
        <v>300000.0</v>
      </c>
      <c r="W22" s="10">
        <v>0.0</v>
      </c>
      <c r="X22" s="10">
        <v>0.0</v>
      </c>
      <c r="Y22" s="10">
        <v>100.0</v>
      </c>
      <c r="Z22" s="10">
        <v>0.0</v>
      </c>
      <c r="AA22" s="10">
        <v>0.0</v>
      </c>
      <c r="AB22" s="10">
        <v>300089.0</v>
      </c>
      <c r="AC22" s="10">
        <v>89.0</v>
      </c>
      <c r="AD22" s="18"/>
      <c r="AE22" s="18"/>
      <c r="AF22" s="9" t="s">
        <v>77</v>
      </c>
    </row>
    <row r="23" ht="20.2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</row>
    <row r="24" ht="20.25" customHeight="1">
      <c r="A24" s="34" t="s">
        <v>78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</row>
    <row r="25" ht="20.25" customHeight="1">
      <c r="A25" s="35" t="s">
        <v>79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</row>
    <row r="26" ht="20.25" customHeight="1">
      <c r="A26" s="35" t="s">
        <v>80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</row>
    <row r="27" ht="20.25" customHeight="1">
      <c r="A27" s="35" t="s">
        <v>81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</row>
    <row r="28" ht="20.25" customHeight="1">
      <c r="A28" s="35" t="s">
        <v>82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</row>
    <row r="29" ht="20.25" customHeight="1">
      <c r="A29" s="35" t="s">
        <v>83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</row>
    <row r="30" ht="20.25" customHeight="1">
      <c r="A30" s="36" t="s">
        <v>83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</row>
    <row r="31" ht="20.2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</row>
    <row r="32" ht="20.2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</row>
    <row r="33" ht="20.2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</row>
    <row r="34" ht="20.2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</row>
    <row r="35" ht="20.2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</row>
    <row r="36" ht="20.2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</row>
    <row r="37" ht="20.2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</row>
    <row r="38" ht="20.2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</row>
    <row r="39" ht="20.2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</row>
    <row r="40" ht="20.2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</row>
    <row r="41" ht="20.2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</row>
    <row r="42" ht="20.2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</row>
    <row r="43" ht="20.2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</row>
    <row r="44" ht="20.2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</row>
    <row r="45" ht="20.2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</row>
    <row r="46" ht="20.2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</row>
    <row r="47" ht="20.2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</row>
    <row r="48" ht="20.2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</row>
    <row r="49" ht="20.2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</row>
    <row r="50" ht="20.2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</row>
    <row r="51" ht="20.2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</row>
    <row r="52" ht="20.2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</row>
    <row r="53" ht="20.2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</row>
    <row r="54" ht="20.2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</row>
    <row r="55" ht="20.2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</row>
    <row r="56" ht="20.2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</row>
    <row r="57" ht="20.2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</row>
    <row r="58" ht="20.2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</row>
    <row r="59" ht="20.2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</row>
    <row r="60" ht="20.2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</row>
    <row r="61" ht="20.2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</row>
    <row r="62" ht="20.2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</row>
    <row r="63" ht="20.2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</row>
    <row r="64" ht="20.2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</row>
    <row r="65" ht="20.2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</row>
    <row r="66" ht="20.2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</row>
    <row r="67" ht="20.2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</row>
    <row r="68" ht="20.2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</row>
    <row r="69" ht="20.2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</row>
    <row r="70" ht="20.2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</row>
    <row r="71" ht="20.2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</row>
    <row r="72" ht="20.2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</row>
    <row r="73" ht="20.2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</row>
    <row r="74" ht="20.2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</row>
    <row r="75" ht="20.2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</row>
    <row r="76" ht="20.2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</row>
    <row r="77" ht="20.2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</row>
    <row r="78" ht="20.2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</row>
    <row r="79" ht="20.2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</row>
    <row r="80" ht="20.2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</row>
    <row r="81" ht="20.2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</row>
    <row r="82" ht="20.2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</row>
    <row r="83" ht="20.2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</row>
    <row r="84" ht="20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</row>
    <row r="85" ht="20.2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</row>
    <row r="86" ht="20.2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</row>
    <row r="87" ht="20.2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</row>
    <row r="88" ht="20.2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</row>
    <row r="89" ht="20.2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</row>
    <row r="90" ht="20.2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</row>
    <row r="91" ht="20.2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</row>
    <row r="92" ht="20.2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</row>
    <row r="93" ht="20.2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</row>
    <row r="94" ht="20.2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</row>
    <row r="95" ht="20.2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</row>
    <row r="96" ht="20.2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</row>
    <row r="97" ht="20.2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</row>
    <row r="98" ht="20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</row>
    <row r="99" ht="20.2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</row>
    <row r="100" ht="20.2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</row>
    <row r="101" ht="20.2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</row>
    <row r="102" ht="20.2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</row>
    <row r="103" ht="20.2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</row>
    <row r="104" ht="20.2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</row>
    <row r="105" ht="20.2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</row>
    <row r="106" ht="20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</row>
    <row r="107" ht="20.2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</row>
    <row r="108" ht="20.2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</row>
    <row r="109" ht="20.2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</row>
    <row r="110" ht="20.2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</row>
    <row r="111" ht="20.2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</row>
    <row r="112" ht="20.2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</row>
    <row r="113" ht="20.2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</row>
    <row r="114" ht="20.2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</row>
    <row r="115" ht="20.2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</row>
    <row r="116" ht="20.2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</row>
    <row r="117" ht="20.2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</row>
    <row r="118" ht="20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</row>
    <row r="119" ht="20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</row>
    <row r="120" ht="20.2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</row>
    <row r="121" ht="20.2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</row>
    <row r="122" ht="20.2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</row>
    <row r="123" ht="20.2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</row>
    <row r="124" ht="20.2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</row>
    <row r="125" ht="20.2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</row>
    <row r="126" ht="20.2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</row>
    <row r="127" ht="20.2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</row>
    <row r="128" ht="20.2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</row>
    <row r="129" ht="20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</row>
    <row r="130" ht="20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</row>
    <row r="131" ht="20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</row>
    <row r="132" ht="20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</row>
    <row r="133" ht="20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</row>
    <row r="134" ht="20.2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</row>
    <row r="135" ht="20.2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</row>
    <row r="136" ht="20.2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</row>
    <row r="137" ht="20.2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</row>
    <row r="138" ht="20.2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</row>
    <row r="139" ht="20.2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</row>
    <row r="140" ht="20.2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</row>
    <row r="141" ht="20.2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</row>
    <row r="142" ht="20.2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</row>
    <row r="143" ht="20.2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</row>
    <row r="144" ht="20.2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</row>
    <row r="145" ht="20.2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</row>
    <row r="146" ht="20.2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</row>
    <row r="147" ht="20.2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</row>
    <row r="148" ht="20.2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</row>
    <row r="149" ht="20.2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</row>
    <row r="150" ht="20.2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</row>
    <row r="151" ht="20.2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</row>
    <row r="152" ht="20.2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</row>
    <row r="153" ht="20.2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</row>
    <row r="154" ht="20.2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</row>
    <row r="155" ht="20.2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</row>
    <row r="156" ht="20.2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</row>
    <row r="157" ht="20.2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</row>
    <row r="158" ht="20.2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</row>
    <row r="159" ht="20.2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</row>
    <row r="160" ht="20.2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</row>
    <row r="161" ht="20.2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</row>
    <row r="162" ht="20.2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</row>
    <row r="163" ht="20.2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</row>
    <row r="164" ht="20.2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</row>
    <row r="165" ht="20.2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</row>
    <row r="166" ht="20.2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</row>
    <row r="167" ht="20.2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</row>
    <row r="168" ht="20.2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</row>
    <row r="169" ht="20.2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</row>
    <row r="170" ht="20.2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</row>
    <row r="171" ht="20.2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</row>
    <row r="172" ht="20.2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</row>
    <row r="173" ht="20.2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</row>
    <row r="174" ht="20.2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</row>
    <row r="175" ht="20.2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</row>
    <row r="176" ht="20.2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</row>
    <row r="177" ht="20.2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</row>
    <row r="178" ht="20.2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</row>
    <row r="179" ht="20.2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</row>
    <row r="180" ht="20.2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</row>
    <row r="181" ht="20.2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</row>
    <row r="182" ht="20.2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</row>
    <row r="183" ht="20.2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</row>
    <row r="184" ht="20.2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</row>
    <row r="185" ht="20.2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</row>
    <row r="186" ht="20.2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</row>
    <row r="187" ht="20.2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</row>
    <row r="188" ht="20.2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</row>
    <row r="189" ht="20.2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</row>
    <row r="190" ht="20.2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</row>
    <row r="191" ht="20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</row>
    <row r="192" ht="20.2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</row>
    <row r="193" ht="20.2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</row>
    <row r="194" ht="20.2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</row>
    <row r="195" ht="20.2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</row>
    <row r="196" ht="20.2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</row>
    <row r="197" ht="20.2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</row>
    <row r="198" ht="20.2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</row>
    <row r="199" ht="20.2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</row>
    <row r="200" ht="20.2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</row>
    <row r="201" ht="20.2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</row>
    <row r="202" ht="20.2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</row>
    <row r="203" ht="20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</row>
    <row r="204" ht="20.2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</row>
    <row r="205" ht="20.2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</row>
    <row r="206" ht="20.2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</row>
    <row r="207" ht="20.2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</row>
    <row r="208" ht="20.2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</row>
    <row r="209" ht="20.2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</row>
    <row r="210" ht="20.2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</row>
    <row r="211" ht="20.2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</row>
    <row r="212" ht="20.2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</row>
    <row r="213" ht="20.2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</row>
    <row r="214" ht="20.2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</row>
    <row r="215" ht="20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</row>
    <row r="216" ht="20.2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</row>
    <row r="217" ht="20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</row>
    <row r="218" ht="20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</row>
    <row r="219" ht="20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</row>
    <row r="220" ht="20.2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</row>
    <row r="221" ht="20.2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</row>
    <row r="222" ht="20.2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</row>
    <row r="223" ht="20.2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</row>
    <row r="224" ht="20.2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</row>
    <row r="225" ht="20.2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</row>
    <row r="226" ht="20.2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</row>
    <row r="227" ht="20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</row>
    <row r="228" ht="20.2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</row>
    <row r="229" ht="20.2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</row>
    <row r="230" ht="20.2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</row>
    <row r="231" ht="20.2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</row>
    <row r="232" ht="20.2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</row>
    <row r="233" ht="20.2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</row>
    <row r="234" ht="20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</row>
    <row r="235" ht="20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</row>
    <row r="236" ht="20.2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</row>
    <row r="237" ht="20.2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</row>
    <row r="238" ht="20.2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</row>
    <row r="239" ht="20.2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</row>
    <row r="240" ht="20.2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</row>
    <row r="241" ht="20.2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</row>
    <row r="242" ht="20.2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</row>
    <row r="243" ht="20.2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</row>
    <row r="244" ht="20.2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</row>
    <row r="245" ht="20.2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</row>
    <row r="246" ht="20.2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</row>
    <row r="247" ht="20.2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</row>
    <row r="248" ht="20.2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</row>
    <row r="249" ht="20.2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</row>
    <row r="250" ht="20.2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</row>
    <row r="251" ht="20.2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</row>
    <row r="252" ht="20.2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</row>
    <row r="253" ht="20.2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</row>
    <row r="254" ht="20.2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</row>
    <row r="255" ht="20.2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</row>
    <row r="256" ht="20.2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</row>
    <row r="257" ht="20.2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</row>
    <row r="258" ht="20.2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</row>
    <row r="259" ht="20.2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</row>
    <row r="260" ht="20.2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</row>
    <row r="261" ht="20.2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</row>
    <row r="262" ht="20.2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</row>
    <row r="263" ht="20.2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</row>
    <row r="264" ht="20.2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</row>
    <row r="265" ht="20.2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</row>
    <row r="266" ht="20.2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</row>
    <row r="267" ht="20.2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</row>
    <row r="268" ht="20.2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</row>
    <row r="269" ht="20.2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</row>
    <row r="270" ht="20.2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</row>
    <row r="271" ht="20.2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</row>
    <row r="272" ht="20.2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</row>
    <row r="273" ht="20.2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</row>
    <row r="274" ht="20.2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</row>
    <row r="275" ht="20.2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</row>
    <row r="276" ht="20.2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</row>
    <row r="277" ht="20.2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</row>
    <row r="278" ht="20.2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</row>
    <row r="279" ht="20.2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</row>
    <row r="280" ht="20.2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</row>
    <row r="281" ht="20.2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</row>
    <row r="282" ht="20.2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</row>
    <row r="283" ht="20.2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</row>
    <row r="284" ht="20.2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</row>
    <row r="285" ht="20.2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</row>
    <row r="286" ht="20.2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</row>
    <row r="287" ht="20.2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</row>
    <row r="288" ht="20.2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</row>
    <row r="289" ht="20.2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</row>
    <row r="290" ht="20.2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</row>
    <row r="291" ht="20.2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</row>
    <row r="292" ht="20.2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</row>
    <row r="293" ht="20.2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</row>
    <row r="294" ht="20.2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</row>
    <row r="295" ht="20.2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</row>
    <row r="296" ht="20.2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</row>
    <row r="297" ht="20.2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</row>
    <row r="298" ht="20.2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</row>
    <row r="299" ht="20.2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</row>
    <row r="300" ht="20.2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</row>
    <row r="301" ht="20.2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</row>
    <row r="302" ht="20.2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</row>
    <row r="303" ht="20.2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</row>
    <row r="304" ht="20.2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</row>
    <row r="305" ht="20.2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</row>
    <row r="306" ht="20.2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</row>
    <row r="307" ht="20.2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</row>
    <row r="308" ht="20.2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</row>
    <row r="309" ht="20.2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</row>
    <row r="310" ht="20.2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</row>
    <row r="311" ht="20.2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</row>
    <row r="312" ht="20.2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</row>
    <row r="313" ht="20.2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</row>
    <row r="314" ht="20.2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</row>
    <row r="315" ht="20.2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</row>
    <row r="316" ht="20.2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</row>
    <row r="317" ht="20.2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</row>
    <row r="318" ht="20.2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</row>
    <row r="319" ht="20.2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</row>
    <row r="320" ht="20.2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</row>
    <row r="321" ht="20.2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</row>
    <row r="322" ht="20.2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</row>
    <row r="323" ht="20.2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</row>
    <row r="324" ht="20.2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</row>
    <row r="325" ht="20.2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</row>
    <row r="326" ht="20.2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</row>
    <row r="327" ht="20.2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</row>
    <row r="328" ht="20.2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</row>
    <row r="329" ht="20.2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</row>
    <row r="330" ht="20.2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</row>
    <row r="331" ht="20.2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</row>
    <row r="332" ht="20.2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</row>
    <row r="333" ht="20.2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</row>
    <row r="334" ht="20.2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</row>
    <row r="335" ht="20.2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</row>
    <row r="336" ht="20.2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</row>
    <row r="337" ht="20.2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</row>
    <row r="338" ht="20.2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</row>
    <row r="339" ht="20.2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</row>
    <row r="340" ht="20.2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</row>
    <row r="341" ht="20.2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</row>
    <row r="342" ht="20.2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</row>
    <row r="343" ht="20.2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</row>
    <row r="344" ht="20.2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</row>
    <row r="345" ht="20.2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</row>
    <row r="346" ht="20.2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</row>
    <row r="347" ht="20.2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</row>
    <row r="348" ht="20.2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</row>
    <row r="349" ht="20.2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</row>
    <row r="350" ht="20.2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</row>
    <row r="351" ht="20.2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</row>
    <row r="352" ht="20.2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</row>
    <row r="353" ht="20.2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</row>
    <row r="354" ht="20.2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</row>
    <row r="355" ht="20.2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</row>
    <row r="356" ht="20.2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</row>
    <row r="357" ht="20.2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</row>
    <row r="358" ht="20.2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</row>
    <row r="359" ht="20.2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</row>
    <row r="360" ht="20.2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</row>
    <row r="361" ht="20.2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</row>
    <row r="362" ht="20.2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</row>
    <row r="363" ht="20.2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</row>
    <row r="364" ht="20.2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</row>
    <row r="365" ht="20.2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</row>
    <row r="366" ht="20.2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</row>
    <row r="367" ht="20.2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</row>
    <row r="368" ht="20.2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</row>
    <row r="369" ht="20.2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</row>
    <row r="370" ht="20.2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</row>
    <row r="371" ht="20.2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</row>
    <row r="372" ht="20.2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</row>
    <row r="373" ht="20.2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</row>
    <row r="374" ht="20.2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</row>
    <row r="375" ht="20.2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</row>
    <row r="376" ht="20.2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</row>
    <row r="377" ht="20.2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</row>
    <row r="378" ht="20.2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</row>
    <row r="379" ht="20.2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</row>
    <row r="380" ht="20.2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</row>
    <row r="381" ht="20.2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</row>
    <row r="382" ht="20.2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</row>
    <row r="383" ht="20.2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</row>
    <row r="384" ht="20.2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</row>
    <row r="385" ht="20.2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</row>
    <row r="386" ht="20.2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</row>
    <row r="387" ht="20.2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</row>
    <row r="388" ht="20.2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</row>
    <row r="389" ht="20.2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</row>
    <row r="390" ht="20.2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</row>
    <row r="391" ht="20.2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</row>
    <row r="392" ht="20.2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</row>
    <row r="393" ht="20.2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</row>
    <row r="394" ht="20.2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</row>
    <row r="395" ht="20.2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</row>
    <row r="396" ht="20.2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</row>
    <row r="397" ht="20.2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</row>
    <row r="398" ht="20.2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</row>
    <row r="399" ht="20.2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</row>
    <row r="400" ht="20.2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</row>
    <row r="401" ht="20.2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</row>
    <row r="402" ht="20.2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</row>
    <row r="403" ht="20.2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</row>
    <row r="404" ht="20.2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</row>
    <row r="405" ht="20.2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</row>
    <row r="406" ht="20.2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</row>
    <row r="407" ht="20.2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</row>
    <row r="408" ht="20.2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</row>
    <row r="409" ht="20.2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</row>
    <row r="410" ht="20.2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</row>
    <row r="411" ht="20.2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</row>
    <row r="412" ht="20.2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</row>
    <row r="413" ht="20.2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</row>
    <row r="414" ht="20.2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</row>
    <row r="415" ht="20.2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</row>
    <row r="416" ht="20.2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</row>
    <row r="417" ht="20.2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</row>
    <row r="418" ht="20.2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</row>
    <row r="419" ht="20.2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</row>
    <row r="420" ht="20.2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</row>
    <row r="421" ht="20.2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</row>
    <row r="422" ht="20.2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</row>
    <row r="423" ht="20.2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</row>
    <row r="424" ht="20.2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</row>
    <row r="425" ht="20.2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</row>
    <row r="426" ht="20.2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</row>
    <row r="427" ht="20.2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</row>
    <row r="428" ht="20.2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</row>
    <row r="429" ht="20.2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</row>
    <row r="430" ht="20.2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</row>
    <row r="431" ht="20.2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</row>
    <row r="432" ht="20.2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</row>
    <row r="433" ht="20.2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</row>
    <row r="434" ht="20.2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</row>
    <row r="435" ht="20.2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</row>
    <row r="436" ht="20.2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</row>
    <row r="437" ht="20.2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</row>
    <row r="438" ht="20.2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</row>
    <row r="439" ht="20.2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</row>
    <row r="440" ht="20.2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</row>
    <row r="441" ht="20.2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</row>
    <row r="442" ht="20.2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</row>
    <row r="443" ht="20.2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</row>
    <row r="444" ht="20.2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</row>
    <row r="445" ht="20.2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</row>
    <row r="446" ht="20.2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</row>
    <row r="447" ht="20.2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</row>
    <row r="448" ht="20.2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</row>
    <row r="449" ht="20.2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</row>
    <row r="450" ht="20.2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</row>
    <row r="451" ht="20.2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</row>
    <row r="452" ht="20.2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</row>
    <row r="453" ht="20.2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</row>
    <row r="454" ht="20.2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</row>
    <row r="455" ht="20.2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</row>
    <row r="456" ht="20.2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</row>
    <row r="457" ht="20.2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</row>
    <row r="458" ht="20.2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</row>
    <row r="459" ht="20.2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</row>
    <row r="460" ht="20.2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</row>
    <row r="461" ht="20.2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</row>
    <row r="462" ht="20.2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</row>
    <row r="463" ht="20.2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</row>
    <row r="464" ht="20.2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</row>
    <row r="465" ht="20.2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</row>
    <row r="466" ht="20.2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</row>
    <row r="467" ht="20.2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</row>
    <row r="468" ht="20.2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</row>
    <row r="469" ht="20.2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</row>
    <row r="470" ht="20.2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</row>
    <row r="471" ht="20.2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</row>
    <row r="472" ht="20.2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</row>
    <row r="473" ht="20.2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</row>
    <row r="474" ht="20.2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</row>
    <row r="475" ht="20.2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</row>
    <row r="476" ht="20.2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</row>
    <row r="477" ht="20.2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</row>
    <row r="478" ht="20.2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</row>
    <row r="479" ht="20.2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</row>
    <row r="480" ht="20.2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</row>
    <row r="481" ht="20.2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</row>
    <row r="482" ht="20.2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</row>
    <row r="483" ht="20.2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</row>
    <row r="484" ht="20.2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</row>
    <row r="485" ht="20.2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</row>
    <row r="486" ht="20.2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</row>
    <row r="487" ht="20.2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</row>
    <row r="488" ht="20.2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</row>
    <row r="489" ht="20.2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</row>
    <row r="490" ht="20.2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</row>
    <row r="491" ht="20.2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</row>
    <row r="492" ht="20.2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</row>
    <row r="493" ht="20.2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</row>
    <row r="494" ht="20.2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</row>
    <row r="495" ht="20.2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</row>
    <row r="496" ht="20.2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</row>
    <row r="497" ht="20.2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</row>
    <row r="498" ht="20.2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</row>
    <row r="499" ht="20.2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</row>
    <row r="500" ht="20.2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</row>
    <row r="501" ht="20.2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</row>
    <row r="502" ht="20.2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</row>
    <row r="503" ht="20.2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</row>
    <row r="504" ht="20.2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</row>
    <row r="505" ht="20.2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</row>
    <row r="506" ht="20.2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</row>
    <row r="507" ht="20.2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</row>
    <row r="508" ht="20.2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</row>
    <row r="509" ht="20.2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</row>
    <row r="510" ht="20.2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</row>
    <row r="511" ht="20.2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</row>
    <row r="512" ht="20.2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</row>
    <row r="513" ht="20.2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</row>
    <row r="514" ht="20.2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</row>
    <row r="515" ht="20.2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</row>
    <row r="516" ht="20.2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</row>
    <row r="517" ht="20.2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</row>
    <row r="518" ht="20.2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</row>
    <row r="519" ht="20.2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</row>
    <row r="520" ht="20.2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</row>
    <row r="521" ht="20.2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</row>
    <row r="522" ht="20.2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</row>
    <row r="523" ht="20.2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</row>
    <row r="524" ht="20.2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</row>
    <row r="525" ht="20.2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</row>
    <row r="526" ht="20.2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</row>
    <row r="527" ht="20.2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</row>
    <row r="528" ht="20.2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</row>
    <row r="529" ht="20.2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</row>
    <row r="530" ht="20.2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</row>
    <row r="531" ht="20.2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</row>
    <row r="532" ht="20.2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</row>
    <row r="533" ht="20.2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</row>
    <row r="534" ht="20.2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</row>
    <row r="535" ht="20.2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</row>
    <row r="536" ht="20.2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</row>
    <row r="537" ht="20.2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</row>
    <row r="538" ht="20.2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</row>
    <row r="539" ht="20.2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</row>
    <row r="540" ht="20.2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</row>
    <row r="541" ht="20.2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</row>
    <row r="542" ht="20.2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</row>
    <row r="543" ht="20.2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</row>
    <row r="544" ht="20.2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</row>
    <row r="545" ht="20.2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</row>
    <row r="546" ht="20.2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</row>
    <row r="547" ht="20.2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</row>
    <row r="548" ht="20.2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</row>
    <row r="549" ht="20.2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</row>
    <row r="550" ht="20.2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</row>
    <row r="551" ht="20.2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</row>
    <row r="552" ht="20.2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</row>
    <row r="553" ht="20.2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</row>
    <row r="554" ht="20.2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</row>
    <row r="555" ht="20.2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</row>
    <row r="556" ht="20.2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</row>
    <row r="557" ht="20.2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</row>
    <row r="558" ht="20.2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</row>
    <row r="559" ht="20.2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</row>
    <row r="560" ht="20.2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</row>
    <row r="561" ht="20.2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</row>
    <row r="562" ht="20.2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</row>
    <row r="563" ht="20.2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</row>
    <row r="564" ht="20.2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</row>
    <row r="565" ht="20.2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</row>
    <row r="566" ht="20.2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</row>
    <row r="567" ht="20.2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</row>
    <row r="568" ht="20.2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</row>
    <row r="569" ht="20.2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</row>
    <row r="570" ht="20.2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</row>
    <row r="571" ht="20.2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</row>
    <row r="572" ht="20.2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</row>
    <row r="573" ht="20.2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</row>
    <row r="574" ht="20.2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</row>
    <row r="575" ht="20.2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</row>
    <row r="576" ht="20.2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</row>
    <row r="577" ht="20.2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</row>
    <row r="578" ht="20.2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</row>
    <row r="579" ht="20.2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</row>
    <row r="580" ht="20.2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</row>
    <row r="581" ht="20.2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</row>
    <row r="582" ht="20.2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</row>
    <row r="583" ht="20.2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</row>
    <row r="584" ht="20.2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</row>
    <row r="585" ht="20.2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</row>
    <row r="586" ht="20.2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</row>
    <row r="587" ht="20.2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</row>
    <row r="588" ht="20.2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</row>
    <row r="589" ht="20.2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</row>
    <row r="590" ht="20.2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</row>
    <row r="591" ht="20.2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</row>
    <row r="592" ht="20.2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</row>
    <row r="593" ht="20.2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</row>
    <row r="594" ht="20.2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</row>
    <row r="595" ht="20.2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</row>
    <row r="596" ht="20.2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</row>
    <row r="597" ht="20.2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</row>
    <row r="598" ht="20.2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</row>
    <row r="599" ht="20.2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</row>
    <row r="600" ht="20.2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</row>
    <row r="601" ht="20.2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</row>
    <row r="602" ht="20.2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</row>
    <row r="603" ht="20.2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</row>
    <row r="604" ht="20.2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</row>
    <row r="605" ht="20.2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</row>
    <row r="606" ht="20.2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</row>
    <row r="607" ht="20.2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</row>
    <row r="608" ht="20.2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</row>
    <row r="609" ht="20.2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</row>
    <row r="610" ht="20.2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</row>
    <row r="611" ht="20.2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</row>
    <row r="612" ht="20.2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</row>
    <row r="613" ht="20.2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</row>
    <row r="614" ht="20.2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</row>
    <row r="615" ht="20.2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</row>
    <row r="616" ht="20.2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</row>
    <row r="617" ht="20.2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</row>
    <row r="618" ht="20.2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</row>
    <row r="619" ht="20.2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</row>
    <row r="620" ht="20.2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</row>
    <row r="621" ht="20.2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</row>
    <row r="622" ht="20.2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</row>
    <row r="623" ht="20.2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</row>
    <row r="624" ht="20.2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</row>
    <row r="625" ht="20.2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</row>
    <row r="626" ht="20.2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</row>
    <row r="627" ht="20.2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</row>
    <row r="628" ht="20.2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</row>
    <row r="629" ht="20.2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</row>
    <row r="630" ht="20.2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</row>
    <row r="631" ht="20.2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</row>
    <row r="632" ht="20.2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</row>
    <row r="633" ht="20.2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</row>
    <row r="634" ht="20.2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</row>
    <row r="635" ht="20.2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</row>
    <row r="636" ht="20.2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</row>
    <row r="637" ht="20.2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</row>
    <row r="638" ht="20.2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</row>
    <row r="639" ht="20.2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</row>
    <row r="640" ht="20.2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</row>
    <row r="641" ht="20.2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</row>
    <row r="642" ht="20.2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</row>
    <row r="643" ht="20.2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</row>
    <row r="644" ht="20.2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</row>
    <row r="645" ht="20.2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</row>
    <row r="646" ht="20.2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</row>
    <row r="647" ht="20.2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</row>
    <row r="648" ht="20.2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</row>
    <row r="649" ht="20.2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</row>
    <row r="650" ht="20.2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</row>
    <row r="651" ht="20.2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</row>
    <row r="652" ht="20.2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</row>
    <row r="653" ht="20.2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</row>
    <row r="654" ht="20.2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</row>
    <row r="655" ht="20.2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</row>
    <row r="656" ht="20.2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</row>
    <row r="657" ht="20.2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</row>
    <row r="658" ht="20.2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</row>
    <row r="659" ht="20.2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</row>
    <row r="660" ht="20.2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</row>
    <row r="661" ht="20.2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</row>
    <row r="662" ht="20.2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</row>
    <row r="663" ht="20.2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</row>
    <row r="664" ht="20.2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</row>
    <row r="665" ht="20.2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</row>
    <row r="666" ht="20.2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</row>
    <row r="667" ht="20.2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</row>
    <row r="668" ht="20.2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</row>
    <row r="669" ht="20.2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</row>
    <row r="670" ht="20.2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</row>
    <row r="671" ht="20.2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</row>
    <row r="672" ht="20.2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</row>
    <row r="673" ht="20.2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</row>
    <row r="674" ht="20.2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</row>
    <row r="675" ht="20.2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</row>
    <row r="676" ht="20.2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</row>
    <row r="677" ht="20.2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</row>
    <row r="678" ht="20.2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</row>
    <row r="679" ht="20.2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</row>
    <row r="680" ht="20.2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</row>
    <row r="681" ht="20.2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</row>
    <row r="682" ht="20.2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</row>
    <row r="683" ht="20.2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</row>
    <row r="684" ht="20.2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</row>
    <row r="685" ht="20.2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</row>
    <row r="686" ht="20.2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</row>
    <row r="687" ht="20.2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</row>
    <row r="688" ht="20.2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</row>
    <row r="689" ht="20.2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</row>
    <row r="690" ht="20.2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</row>
    <row r="691" ht="20.2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</row>
    <row r="692" ht="20.2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</row>
    <row r="693" ht="20.2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</row>
    <row r="694" ht="20.2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</row>
    <row r="695" ht="20.2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</row>
    <row r="696" ht="20.2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</row>
    <row r="697" ht="20.2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</row>
    <row r="698" ht="20.2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</row>
    <row r="699" ht="20.2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</row>
    <row r="700" ht="20.2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</row>
    <row r="701" ht="20.2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</row>
    <row r="702" ht="20.2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</row>
    <row r="703" ht="20.2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</row>
    <row r="704" ht="20.2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</row>
    <row r="705" ht="20.2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</row>
    <row r="706" ht="20.2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</row>
    <row r="707" ht="20.2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</row>
    <row r="708" ht="20.2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</row>
    <row r="709" ht="20.2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</row>
    <row r="710" ht="20.2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</row>
    <row r="711" ht="20.2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</row>
    <row r="712" ht="20.2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</row>
    <row r="713" ht="20.2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</row>
    <row r="714" ht="20.2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</row>
    <row r="715" ht="20.2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</row>
    <row r="716" ht="20.2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</row>
    <row r="717" ht="20.2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</row>
    <row r="718" ht="20.2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</row>
    <row r="719" ht="20.2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</row>
    <row r="720" ht="20.2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</row>
    <row r="721" ht="20.2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</row>
    <row r="722" ht="20.2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</row>
    <row r="723" ht="20.2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</row>
    <row r="724" ht="20.2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</row>
    <row r="725" ht="20.2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</row>
    <row r="726" ht="20.2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</row>
    <row r="727" ht="20.2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</row>
    <row r="728" ht="20.2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</row>
    <row r="729" ht="20.2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</row>
    <row r="730" ht="20.2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</row>
    <row r="731" ht="20.2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</row>
    <row r="732" ht="20.2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</row>
    <row r="733" ht="20.2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</row>
    <row r="734" ht="20.2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</row>
    <row r="735" ht="20.2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</row>
    <row r="736" ht="20.2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</row>
    <row r="737" ht="20.2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</row>
    <row r="738" ht="20.2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</row>
    <row r="739" ht="20.2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</row>
    <row r="740" ht="20.2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</row>
    <row r="741" ht="20.2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</row>
    <row r="742" ht="20.2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</row>
    <row r="743" ht="20.2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</row>
    <row r="744" ht="20.2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</row>
    <row r="745" ht="20.2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</row>
    <row r="746" ht="20.2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</row>
    <row r="747" ht="20.2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</row>
    <row r="748" ht="20.2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</row>
    <row r="749" ht="20.2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</row>
    <row r="750" ht="20.2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</row>
    <row r="751" ht="20.2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</row>
    <row r="752" ht="20.2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</row>
    <row r="753" ht="20.2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</row>
    <row r="754" ht="20.2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</row>
    <row r="755" ht="20.2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</row>
    <row r="756" ht="20.2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</row>
    <row r="757" ht="20.2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</row>
    <row r="758" ht="20.2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</row>
    <row r="759" ht="20.2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</row>
    <row r="760" ht="20.2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</row>
    <row r="761" ht="20.2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</row>
    <row r="762" ht="20.2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</row>
    <row r="763" ht="20.2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</row>
    <row r="764" ht="20.2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</row>
    <row r="765" ht="20.2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</row>
    <row r="766" ht="20.2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</row>
    <row r="767" ht="20.2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</row>
    <row r="768" ht="20.2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</row>
    <row r="769" ht="20.2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</row>
    <row r="770" ht="20.2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</row>
    <row r="771" ht="20.2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</row>
    <row r="772" ht="20.2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</row>
    <row r="773" ht="20.2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</row>
    <row r="774" ht="20.2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</row>
    <row r="775" ht="20.2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</row>
    <row r="776" ht="20.2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</row>
    <row r="777" ht="20.2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</row>
    <row r="778" ht="20.2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</row>
    <row r="779" ht="20.2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</row>
    <row r="780" ht="20.2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</row>
    <row r="781" ht="20.2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</row>
    <row r="782" ht="20.2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</row>
    <row r="783" ht="20.2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</row>
    <row r="784" ht="20.2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</row>
    <row r="785" ht="20.2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</row>
    <row r="786" ht="20.2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</row>
    <row r="787" ht="20.2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</row>
    <row r="788" ht="20.2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</row>
    <row r="789" ht="20.2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</row>
    <row r="790" ht="20.2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</row>
    <row r="791" ht="20.2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</row>
    <row r="792" ht="20.2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</row>
    <row r="793" ht="20.2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</row>
    <row r="794" ht="20.2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</row>
    <row r="795" ht="20.2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</row>
    <row r="796" ht="20.2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</row>
    <row r="797" ht="20.2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</row>
    <row r="798" ht="20.2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</row>
    <row r="799" ht="20.2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</row>
    <row r="800" ht="20.2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</row>
    <row r="801" ht="20.2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</row>
    <row r="802" ht="20.2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</row>
    <row r="803" ht="20.2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</row>
    <row r="804" ht="20.2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</row>
    <row r="805" ht="20.2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</row>
    <row r="806" ht="20.2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</row>
    <row r="807" ht="20.2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</row>
    <row r="808" ht="20.2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</row>
    <row r="809" ht="20.2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</row>
    <row r="810" ht="20.2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</row>
    <row r="811" ht="20.2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</row>
    <row r="812" ht="20.2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</row>
    <row r="813" ht="20.2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</row>
    <row r="814" ht="20.2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</row>
    <row r="815" ht="20.2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</row>
    <row r="816" ht="20.2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</row>
    <row r="817" ht="20.2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</row>
    <row r="818" ht="20.2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</row>
    <row r="819" ht="20.2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</row>
    <row r="820" ht="20.2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</row>
    <row r="821" ht="20.2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</row>
    <row r="822" ht="20.2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</row>
    <row r="823" ht="20.2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</row>
    <row r="824" ht="20.2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</row>
    <row r="825" ht="20.2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</row>
    <row r="826" ht="20.2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</row>
    <row r="827" ht="20.2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</row>
    <row r="828" ht="20.2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</row>
    <row r="829" ht="20.2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</row>
    <row r="830" ht="20.2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</row>
    <row r="831" ht="20.2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</row>
    <row r="832" ht="20.2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</row>
    <row r="833" ht="20.2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</row>
    <row r="834" ht="20.2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</row>
    <row r="835" ht="20.2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</row>
    <row r="836" ht="20.2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</row>
    <row r="837" ht="20.2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</row>
    <row r="838" ht="20.2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</row>
    <row r="839" ht="20.2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</row>
    <row r="840" ht="20.2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</row>
    <row r="841" ht="20.2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</row>
    <row r="842" ht="20.2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</row>
    <row r="843" ht="20.2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</row>
    <row r="844" ht="20.2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</row>
    <row r="845" ht="20.2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</row>
    <row r="846" ht="20.2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</row>
    <row r="847" ht="20.2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</row>
    <row r="848" ht="20.2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</row>
    <row r="849" ht="20.2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</row>
    <row r="850" ht="20.2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</row>
    <row r="851" ht="20.2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</row>
    <row r="852" ht="20.2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</row>
    <row r="853" ht="20.2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</row>
    <row r="854" ht="20.2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</row>
    <row r="855" ht="20.2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</row>
    <row r="856" ht="20.2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</row>
    <row r="857" ht="20.2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</row>
    <row r="858" ht="20.2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</row>
    <row r="859" ht="20.2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</row>
    <row r="860" ht="20.2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</row>
    <row r="861" ht="20.2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</row>
    <row r="862" ht="20.2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</row>
    <row r="863" ht="20.2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</row>
    <row r="864" ht="20.2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</row>
    <row r="865" ht="20.2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</row>
    <row r="866" ht="20.2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</row>
    <row r="867" ht="20.2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</row>
    <row r="868" ht="20.2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</row>
    <row r="869" ht="20.2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</row>
    <row r="870" ht="20.2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</row>
    <row r="871" ht="20.2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</row>
    <row r="872" ht="20.2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</row>
    <row r="873" ht="20.2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</row>
    <row r="874" ht="20.2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</row>
    <row r="875" ht="20.2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</row>
    <row r="876" ht="20.2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</row>
    <row r="877" ht="20.2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</row>
    <row r="878" ht="20.2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</row>
    <row r="879" ht="20.2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</row>
    <row r="880" ht="20.2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</row>
    <row r="881" ht="20.2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</row>
    <row r="882" ht="20.2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</row>
    <row r="883" ht="20.2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</row>
    <row r="884" ht="20.2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</row>
    <row r="885" ht="20.2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</row>
    <row r="886" ht="20.2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</row>
    <row r="887" ht="20.2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</row>
    <row r="888" ht="20.2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</row>
    <row r="889" ht="20.2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</row>
    <row r="890" ht="20.2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</row>
    <row r="891" ht="20.2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</row>
    <row r="892" ht="20.2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</row>
    <row r="893" ht="20.2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</row>
    <row r="894" ht="20.2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</row>
    <row r="895" ht="20.2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</row>
    <row r="896" ht="20.2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</row>
    <row r="897" ht="20.2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</row>
    <row r="898" ht="20.2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</row>
    <row r="899" ht="20.2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</row>
    <row r="900" ht="20.2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</row>
    <row r="901" ht="20.2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</row>
    <row r="902" ht="20.2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</row>
    <row r="903" ht="20.2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</row>
    <row r="904" ht="20.2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</row>
    <row r="905" ht="20.2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</row>
    <row r="906" ht="20.2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</row>
    <row r="907" ht="20.2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</row>
    <row r="908" ht="20.2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</row>
    <row r="909" ht="20.2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</row>
    <row r="910" ht="20.2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</row>
    <row r="911" ht="20.2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</row>
    <row r="912" ht="20.2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</row>
    <row r="913" ht="20.2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</row>
    <row r="914" ht="20.2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</row>
    <row r="915" ht="20.2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</row>
    <row r="916" ht="20.2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</row>
    <row r="917" ht="20.2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</row>
    <row r="918" ht="20.2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</row>
    <row r="919" ht="20.2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</row>
    <row r="920" ht="20.2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</row>
    <row r="921" ht="20.2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</row>
    <row r="922" ht="20.2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</row>
    <row r="923" ht="20.2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</row>
    <row r="924" ht="20.2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</row>
    <row r="925" ht="20.2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</row>
    <row r="926" ht="20.2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</row>
    <row r="927" ht="20.2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</row>
    <row r="928" ht="20.2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</row>
    <row r="929" ht="20.2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</row>
    <row r="930" ht="20.2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</row>
    <row r="931" ht="20.2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</row>
    <row r="932" ht="20.2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</row>
    <row r="933" ht="20.2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</row>
    <row r="934" ht="20.2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</row>
    <row r="935" ht="20.2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</row>
    <row r="936" ht="20.2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</row>
    <row r="937" ht="20.2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</row>
    <row r="938" ht="20.2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</row>
    <row r="939" ht="20.2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</row>
    <row r="940" ht="20.2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</row>
    <row r="941" ht="20.2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</row>
    <row r="942" ht="20.2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</row>
    <row r="943" ht="20.2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</row>
    <row r="944" ht="20.2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</row>
    <row r="945" ht="20.2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</row>
    <row r="946" ht="20.2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</row>
    <row r="947" ht="20.2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</row>
    <row r="948" ht="20.2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</row>
    <row r="949" ht="20.2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</row>
    <row r="950" ht="20.2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</row>
    <row r="951" ht="20.2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</row>
    <row r="952" ht="20.2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</row>
    <row r="953" ht="20.2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</row>
    <row r="954" ht="20.2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</row>
    <row r="955" ht="20.2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</row>
    <row r="956" ht="20.2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</row>
    <row r="957" ht="20.2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</row>
    <row r="958" ht="20.2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</row>
    <row r="959" ht="20.2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</row>
    <row r="960" ht="20.2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</row>
    <row r="961" ht="20.2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</row>
    <row r="962" ht="20.2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</row>
    <row r="963" ht="20.2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</row>
    <row r="964" ht="20.2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</row>
    <row r="965" ht="20.2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</row>
    <row r="966" ht="20.2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</row>
    <row r="967" ht="20.2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</row>
    <row r="968" ht="20.2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</row>
    <row r="969" ht="20.2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</row>
    <row r="970" ht="20.2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</row>
    <row r="971" ht="20.2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</row>
    <row r="972" ht="20.2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</row>
    <row r="973" ht="20.2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</row>
    <row r="974" ht="20.2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</row>
    <row r="975" ht="20.2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</row>
    <row r="976" ht="20.2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</row>
    <row r="977" ht="20.2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</row>
    <row r="978" ht="20.2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</row>
    <row r="979" ht="20.2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</row>
    <row r="980" ht="20.2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</row>
    <row r="981" ht="20.2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</row>
    <row r="982" ht="20.2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</row>
    <row r="983" ht="20.2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</row>
    <row r="984" ht="20.2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</row>
    <row r="985" ht="20.2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</row>
    <row r="986" ht="20.2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</row>
    <row r="987" ht="20.2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</row>
    <row r="988" ht="20.2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</row>
    <row r="989" ht="20.2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</row>
    <row r="990" ht="20.2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</row>
    <row r="991" ht="20.2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</row>
    <row r="992" ht="20.2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</row>
    <row r="993" ht="20.2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</row>
    <row r="994" ht="20.2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</row>
    <row r="995" ht="20.2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</row>
    <row r="996" ht="20.2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</row>
    <row r="997" ht="20.2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</row>
    <row r="998" ht="20.2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</row>
    <row r="999" ht="20.2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</row>
  </sheetData>
  <mergeCells count="30">
    <mergeCell ref="N9:N15"/>
    <mergeCell ref="AD9:AD15"/>
    <mergeCell ref="AE9:AE15"/>
    <mergeCell ref="D9:D15"/>
    <mergeCell ref="E9:E15"/>
    <mergeCell ref="F9:F15"/>
    <mergeCell ref="G9:G15"/>
    <mergeCell ref="H9:H15"/>
    <mergeCell ref="I9:I15"/>
    <mergeCell ref="M9:M15"/>
    <mergeCell ref="A2:A8"/>
    <mergeCell ref="B2:B8"/>
    <mergeCell ref="C2:C8"/>
    <mergeCell ref="D2:D8"/>
    <mergeCell ref="A9:A15"/>
    <mergeCell ref="B9:B15"/>
    <mergeCell ref="C9:C15"/>
    <mergeCell ref="H16:H22"/>
    <mergeCell ref="I16:I22"/>
    <mergeCell ref="M16:M22"/>
    <mergeCell ref="N16:N22"/>
    <mergeCell ref="AD16:AD22"/>
    <mergeCell ref="AE16:AE22"/>
    <mergeCell ref="A16:A22"/>
    <mergeCell ref="B16:B22"/>
    <mergeCell ref="C16:C22"/>
    <mergeCell ref="D16:D22"/>
    <mergeCell ref="E16:E22"/>
    <mergeCell ref="F16:F22"/>
    <mergeCell ref="G16:G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20.0"/>
    <col customWidth="1" min="3" max="3" width="13.0"/>
    <col customWidth="1" min="4" max="4" width="16.0"/>
    <col customWidth="1" min="5" max="5" width="14.0"/>
    <col customWidth="1" min="6" max="6" width="12.0"/>
    <col customWidth="1" min="7" max="7" width="15.0"/>
    <col customWidth="1" min="8" max="8" width="18.0"/>
    <col customWidth="1" min="9" max="9" width="16.0"/>
    <col customWidth="1" min="10" max="10" width="12.0"/>
    <col customWidth="1" min="11" max="11" width="11.0"/>
    <col customWidth="1" min="12" max="12" width="14.0"/>
    <col customWidth="1" min="13" max="13" width="12.0"/>
    <col customWidth="1" min="14" max="14" width="11.71"/>
    <col customWidth="1" min="15" max="26" width="8.71"/>
  </cols>
  <sheetData>
    <row r="1" ht="35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3" t="s">
        <v>8</v>
      </c>
      <c r="G1" s="1" t="s">
        <v>11</v>
      </c>
      <c r="H1" s="1" t="s">
        <v>13</v>
      </c>
      <c r="I1" s="1" t="s">
        <v>15</v>
      </c>
      <c r="J1" s="3" t="s">
        <v>17</v>
      </c>
      <c r="K1" s="1" t="s">
        <v>19</v>
      </c>
      <c r="L1" s="1" t="s">
        <v>22</v>
      </c>
      <c r="M1" s="1" t="s">
        <v>25</v>
      </c>
      <c r="N1" s="3" t="s">
        <v>27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3.25" customHeight="1">
      <c r="A2" s="7">
        <v>1000.0</v>
      </c>
      <c r="B2" s="9" t="s">
        <v>9</v>
      </c>
      <c r="C2" s="11">
        <f>AVERAGE('1. Raw Data'!O2:O8)</f>
        <v>24765.42857</v>
      </c>
      <c r="D2" s="13">
        <f>AVERAGE('1. Raw Data'!O9:O15)</f>
        <v>6781.571429</v>
      </c>
      <c r="E2" s="13">
        <f>AVERAGE('1. Raw Data'!O16:O22)</f>
        <v>6026.428571</v>
      </c>
      <c r="F2" s="14" t="s">
        <v>50</v>
      </c>
      <c r="G2" s="11">
        <f>STDEV('1. Raw Data'!O2:O8)</f>
        <v>53449.16726</v>
      </c>
      <c r="H2" s="13">
        <f>STDEV('1. Raw Data'!O9:O15)</f>
        <v>885.1519375</v>
      </c>
      <c r="I2" s="13">
        <f>STDEV('1. Raw Data'!O16:O22)</f>
        <v>947.86934</v>
      </c>
      <c r="J2" s="14" t="s">
        <v>51</v>
      </c>
      <c r="K2" s="11">
        <f t="shared" ref="K2:M2" si="1">(G2/C2)*100</f>
        <v>215.8216931</v>
      </c>
      <c r="L2" s="13">
        <f t="shared" si="1"/>
        <v>13.05231312</v>
      </c>
      <c r="M2" s="13">
        <f t="shared" si="1"/>
        <v>15.72854185</v>
      </c>
      <c r="N2" s="17" t="s">
        <v>51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3.25" customHeight="1">
      <c r="A3" s="16"/>
      <c r="B3" s="9" t="s">
        <v>33</v>
      </c>
      <c r="C3" s="11">
        <f>AVERAGE('1. Raw Data'!P2:P8)</f>
        <v>33187</v>
      </c>
      <c r="D3" s="13">
        <f>AVERAGE('1. Raw Data'!P9:P15)</f>
        <v>11846.71429</v>
      </c>
      <c r="E3" s="13">
        <f>AVERAGE('1. Raw Data'!P16:P22)</f>
        <v>10818.57143</v>
      </c>
      <c r="F3" s="14" t="s">
        <v>50</v>
      </c>
      <c r="G3" s="11">
        <f>STDEV('1. Raw Data'!P2:P8)</f>
        <v>64223.85424</v>
      </c>
      <c r="H3" s="13">
        <f>STDEV('1. Raw Data'!P9:P15)</f>
        <v>1589.892839</v>
      </c>
      <c r="I3" s="13">
        <f>STDEV('1. Raw Data'!P16:P22)</f>
        <v>1020.225279</v>
      </c>
      <c r="J3" s="14" t="s">
        <v>50</v>
      </c>
      <c r="K3" s="11">
        <f t="shared" ref="K3:M3" si="2">(G3/C3)*100</f>
        <v>193.5211204</v>
      </c>
      <c r="L3" s="13">
        <f t="shared" si="2"/>
        <v>13.42053839</v>
      </c>
      <c r="M3" s="13">
        <f t="shared" si="2"/>
        <v>9.430314208</v>
      </c>
      <c r="N3" s="17" t="s">
        <v>50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3.25" customHeight="1">
      <c r="A4" s="16"/>
      <c r="B4" s="9" t="s">
        <v>34</v>
      </c>
      <c r="C4" s="11">
        <f>AVERAGE('1. Raw Data'!Q2:Q8)</f>
        <v>2120.142857</v>
      </c>
      <c r="D4" s="13">
        <f>AVERAGE('1. Raw Data'!Q9:Q15)</f>
        <v>1295.285714</v>
      </c>
      <c r="E4" s="13">
        <f>AVERAGE('1. Raw Data'!Q16:Q22)</f>
        <v>1132.428571</v>
      </c>
      <c r="F4" s="14" t="s">
        <v>50</v>
      </c>
      <c r="G4" s="11">
        <f>STDEV('1. Raw Data'!Q2:Q8)</f>
        <v>3332.98292</v>
      </c>
      <c r="H4" s="13">
        <f>STDEV('1. Raw Data'!Q9:Q15)</f>
        <v>306.451037</v>
      </c>
      <c r="I4" s="13">
        <f>STDEV('1. Raw Data'!Q16:Q22)</f>
        <v>137.6939325</v>
      </c>
      <c r="J4" s="14" t="s">
        <v>50</v>
      </c>
      <c r="K4" s="11">
        <f t="shared" ref="K4:M4" si="3">(G4/C4)*100</f>
        <v>157.2055821</v>
      </c>
      <c r="L4" s="13">
        <f t="shared" si="3"/>
        <v>23.6589529</v>
      </c>
      <c r="M4" s="13">
        <f t="shared" si="3"/>
        <v>12.15917153</v>
      </c>
      <c r="N4" s="17" t="s">
        <v>50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3.25" customHeight="1">
      <c r="A5" s="18"/>
      <c r="B5" s="9" t="s">
        <v>35</v>
      </c>
      <c r="C5" s="11">
        <f>AVERAGE('1. Raw Data'!R2:R8)</f>
        <v>18.57142857</v>
      </c>
      <c r="D5" s="13">
        <f>AVERAGE('1. Raw Data'!R9:R15)</f>
        <v>17.28571429</v>
      </c>
      <c r="E5" s="13">
        <f>AVERAGE('1. Raw Data'!R16:R22)</f>
        <v>13.85714286</v>
      </c>
      <c r="F5" s="14" t="s">
        <v>50</v>
      </c>
      <c r="G5" s="11">
        <f>STDEV('1. Raw Data'!R2:R8)</f>
        <v>15.90447676</v>
      </c>
      <c r="H5" s="13">
        <f>STDEV('1. Raw Data'!R9:R15)</f>
        <v>1.603567451</v>
      </c>
      <c r="I5" s="13">
        <f>STDEV('1. Raw Data'!R16:R22)</f>
        <v>0.8997354108</v>
      </c>
      <c r="J5" s="14" t="s">
        <v>50</v>
      </c>
      <c r="K5" s="11">
        <f t="shared" ref="K5:M5" si="4">(G5/C5)*100</f>
        <v>85.63949024</v>
      </c>
      <c r="L5" s="13">
        <f t="shared" si="4"/>
        <v>9.276836496</v>
      </c>
      <c r="M5" s="13">
        <f t="shared" si="4"/>
        <v>6.492935955</v>
      </c>
      <c r="N5" s="17" t="s">
        <v>50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3.2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3.2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3.2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3.2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3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3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3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3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3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3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3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3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3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3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3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3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3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3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3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3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3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3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3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3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3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3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3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3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3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3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3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3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3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3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3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3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3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3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3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3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3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3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3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3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3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3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3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3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3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3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3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3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3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3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3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3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3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3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3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3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3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3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3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3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3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3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3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3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3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3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3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3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3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3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3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3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3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3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3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3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3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3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3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3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3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3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3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3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3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3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3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3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3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3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3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3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3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3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3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3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3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3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3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3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3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3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3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3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3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3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3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3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3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3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3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3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3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3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3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3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3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3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3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3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3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3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3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3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3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3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3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3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3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3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3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3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3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3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3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3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3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3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3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3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3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3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3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3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3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3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3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3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3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3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3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3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3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3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3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3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3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3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3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3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3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3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3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3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3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3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3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3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3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3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3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3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3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3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3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3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3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3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3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3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3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3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3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3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3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3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3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3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3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3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3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3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3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3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3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3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3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3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3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3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3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3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3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3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3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3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3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3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3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3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3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3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3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3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3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3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3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3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3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3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3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3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3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3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3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3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3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3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3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3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3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3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3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3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3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3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3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3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3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3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3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3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3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3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3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3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3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3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3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3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3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3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3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3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3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3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3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3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3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3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3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3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3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3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3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3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3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3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3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3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3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3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3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3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3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3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3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3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3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3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3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3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3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3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3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3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3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3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3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3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3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3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3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3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3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3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3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3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3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3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3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3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3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3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3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3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3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3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3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3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3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3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3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3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3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3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3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3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3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3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3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3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3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3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3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3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3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3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3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3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3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3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3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3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3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3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3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3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3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3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3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3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3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3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3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3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3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3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3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3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3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3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3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3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3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3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3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3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3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3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3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3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3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3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3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3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3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3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3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3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3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3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3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3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3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3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3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3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3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3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3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3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3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3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3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3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3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3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3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3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3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3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3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3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3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3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3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3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3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3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3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3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3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3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3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3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3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3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3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3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3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3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3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3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3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3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3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3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3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3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3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3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3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3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3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3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3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3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3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3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3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3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3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3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3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3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3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3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3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3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3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3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3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3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3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3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3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3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3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3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3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3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3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3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3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3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3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3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3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3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3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3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3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3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3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3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3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3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3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3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3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3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3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3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3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3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3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3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3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3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3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3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3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3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3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3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3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3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3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3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3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3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3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3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3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3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3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3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3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3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3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3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3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3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3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3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3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3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3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3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3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3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3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3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3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3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3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3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3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3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3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3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3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3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3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3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3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3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3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3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3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3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3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3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3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3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3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3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3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3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3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3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3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3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3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3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3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3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3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3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3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3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3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3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3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3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3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3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3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3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3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3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3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3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3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3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3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3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3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3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3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3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3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3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3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3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3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3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3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3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3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3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3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3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3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3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3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3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3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3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3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3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3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3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3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3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3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3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3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3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3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3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3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3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3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3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3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3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3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3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3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3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3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3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3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3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3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3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3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3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3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3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3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3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3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3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3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3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3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3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3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3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3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3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3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3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3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3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3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3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3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3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3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3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3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3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3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3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3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3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3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3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3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3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3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3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3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3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3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3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3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3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3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3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3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3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3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3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3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3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3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3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3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3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3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3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3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3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3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3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3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3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3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3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3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3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3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3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3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3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3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3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3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3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3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3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3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3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3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3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3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3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3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3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3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3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3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3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3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3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3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3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3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3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3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3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3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3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3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3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3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3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3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3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3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3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3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3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3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3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3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3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3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3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3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3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3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3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3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3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3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3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3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3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3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3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3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3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3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3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3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3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3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3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3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3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3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3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3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3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3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3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3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3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3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3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3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3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3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3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3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3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3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3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3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3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3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3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3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3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3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3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3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3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3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3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3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3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3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3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3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3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3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3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3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3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3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3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3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3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3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3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3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3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3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3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3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3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3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3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3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3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3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3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3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3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3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3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3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3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3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3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3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3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3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3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3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3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3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3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3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3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3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3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3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3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3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3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3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3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3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3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3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3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3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3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3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3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3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3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3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3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3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3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3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3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3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3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3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3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3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3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3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3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3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3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3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3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3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3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3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3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3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3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3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3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3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3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3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3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3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3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3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3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3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3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3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3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3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3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3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3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3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3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3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3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3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3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3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3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3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3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3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3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3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3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3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3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3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3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3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3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3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3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3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3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3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3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3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3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3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3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3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3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3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3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3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3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3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3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3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3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3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3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3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3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3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3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3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3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3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3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3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3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3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3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3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3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3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3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3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3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3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3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3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3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3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3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3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3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3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3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3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3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3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3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3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3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3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3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3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3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3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3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3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3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3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3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3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3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3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3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3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3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3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3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3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3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3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3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1">
    <mergeCell ref="A2:A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22.71"/>
  </cols>
  <sheetData>
    <row r="1" ht="21.0" customHeight="1">
      <c r="A1" s="2" t="s">
        <v>1</v>
      </c>
      <c r="B1" s="2" t="s">
        <v>0</v>
      </c>
      <c r="C1" s="4" t="s">
        <v>9</v>
      </c>
      <c r="D1" s="4" t="s">
        <v>16</v>
      </c>
      <c r="E1" s="4" t="s">
        <v>20</v>
      </c>
      <c r="F1" s="4" t="s">
        <v>23</v>
      </c>
      <c r="G1" s="4" t="s">
        <v>26</v>
      </c>
    </row>
    <row r="2" ht="21.0" customHeight="1">
      <c r="A2" s="6" t="s">
        <v>29</v>
      </c>
      <c r="B2" s="8">
        <v>1000.0</v>
      </c>
      <c r="C2" s="10">
        <v>3393.0</v>
      </c>
      <c r="D2" s="12">
        <f>AVERAGE(C2:C6)</f>
        <v>5502.2</v>
      </c>
      <c r="E2" s="12">
        <f>STDEV(C2:C6)</f>
        <v>1713.133591</v>
      </c>
      <c r="F2" s="15">
        <f>(C2-D2)/E2</f>
        <v>-1.231194118</v>
      </c>
      <c r="G2" s="15" t="b">
        <f t="shared" ref="G2:G20" si="1">ABS(F2)&gt;2</f>
        <v>0</v>
      </c>
    </row>
    <row r="3" ht="21.0" customHeight="1">
      <c r="A3" s="16"/>
      <c r="B3" s="16"/>
      <c r="C3" s="10">
        <v>5107.0</v>
      </c>
      <c r="D3" s="16"/>
      <c r="E3" s="16"/>
      <c r="F3" s="15">
        <f>(C3-D2)/E2</f>
        <v>-0.2306883725</v>
      </c>
      <c r="G3" s="15" t="b">
        <f t="shared" si="1"/>
        <v>0</v>
      </c>
    </row>
    <row r="4" ht="21.0" customHeight="1">
      <c r="A4" s="16"/>
      <c r="B4" s="16"/>
      <c r="C4" s="10">
        <v>7843.0</v>
      </c>
      <c r="D4" s="16"/>
      <c r="E4" s="16"/>
      <c r="F4" s="15">
        <f>(C4-D2)/E2</f>
        <v>1.366384976</v>
      </c>
      <c r="G4" s="15" t="b">
        <f t="shared" si="1"/>
        <v>0</v>
      </c>
    </row>
    <row r="5" ht="21.0" customHeight="1">
      <c r="A5" s="16"/>
      <c r="B5" s="16"/>
      <c r="C5" s="10">
        <v>4678.0</v>
      </c>
      <c r="D5" s="16"/>
      <c r="E5" s="16"/>
      <c r="F5" s="15">
        <f>(C5-D2)/E2</f>
        <v>-0.4811066717</v>
      </c>
      <c r="G5" s="15" t="b">
        <f t="shared" si="1"/>
        <v>0</v>
      </c>
    </row>
    <row r="6" ht="21.0" customHeight="1">
      <c r="A6" s="18"/>
      <c r="B6" s="18"/>
      <c r="C6" s="10">
        <v>6490.0</v>
      </c>
      <c r="D6" s="18"/>
      <c r="E6" s="18"/>
      <c r="F6" s="15">
        <f>(C6-D2)/E2</f>
        <v>0.5766041862</v>
      </c>
      <c r="G6" s="15" t="b">
        <f t="shared" si="1"/>
        <v>0</v>
      </c>
    </row>
    <row r="7" ht="21.0" customHeight="1">
      <c r="A7" s="19" t="s">
        <v>54</v>
      </c>
      <c r="B7" s="20">
        <v>1000.0</v>
      </c>
      <c r="C7" s="21">
        <v>7779.0</v>
      </c>
      <c r="D7" s="12">
        <f>AVERAGE(C7:C13)</f>
        <v>6781.571429</v>
      </c>
      <c r="E7" s="12">
        <f>STDEV(C7:C13)</f>
        <v>885.1519375</v>
      </c>
      <c r="F7" s="15">
        <f>(C7-D7)/E7</f>
        <v>1.126844476</v>
      </c>
      <c r="G7" s="15" t="b">
        <f t="shared" si="1"/>
        <v>0</v>
      </c>
    </row>
    <row r="8" ht="21.0" customHeight="1">
      <c r="A8" s="16"/>
      <c r="B8" s="16"/>
      <c r="C8" s="21">
        <v>5081.0</v>
      </c>
      <c r="D8" s="16"/>
      <c r="E8" s="16"/>
      <c r="F8" s="15">
        <f>(C8-D7)/E7</f>
        <v>-1.9212198</v>
      </c>
      <c r="G8" s="15" t="b">
        <f t="shared" si="1"/>
        <v>0</v>
      </c>
    </row>
    <row r="9" ht="21.0" customHeight="1">
      <c r="A9" s="16"/>
      <c r="B9" s="16"/>
      <c r="C9" s="21">
        <v>7235.0</v>
      </c>
      <c r="D9" s="16"/>
      <c r="E9" s="16"/>
      <c r="F9" s="15">
        <f>(C9-D7)/E7</f>
        <v>0.512260723</v>
      </c>
      <c r="G9" s="15" t="b">
        <f t="shared" si="1"/>
        <v>0</v>
      </c>
    </row>
    <row r="10" ht="21.0" customHeight="1">
      <c r="A10" s="16"/>
      <c r="B10" s="16"/>
      <c r="C10" s="21">
        <v>6656.0</v>
      </c>
      <c r="D10" s="16"/>
      <c r="E10" s="16"/>
      <c r="F10" s="15">
        <f>(C10-D7)/E7</f>
        <v>-0.1418642645</v>
      </c>
      <c r="G10" s="15" t="b">
        <f t="shared" si="1"/>
        <v>0</v>
      </c>
    </row>
    <row r="11" ht="21.0" customHeight="1">
      <c r="A11" s="16"/>
      <c r="B11" s="16"/>
      <c r="C11" s="21">
        <v>6412.0</v>
      </c>
      <c r="D11" s="16"/>
      <c r="E11" s="16"/>
      <c r="F11" s="15">
        <f>(C11-D7)/E7</f>
        <v>-0.4175231539</v>
      </c>
      <c r="G11" s="15" t="b">
        <f t="shared" si="1"/>
        <v>0</v>
      </c>
    </row>
    <row r="12" ht="21.0" customHeight="1">
      <c r="A12" s="16"/>
      <c r="B12" s="16"/>
      <c r="C12" s="21">
        <v>7453.0</v>
      </c>
      <c r="D12" s="16"/>
      <c r="E12" s="16"/>
      <c r="F12" s="15">
        <f>(C12-D7)/E7</f>
        <v>0.7585461241</v>
      </c>
      <c r="G12" s="15" t="b">
        <f t="shared" si="1"/>
        <v>0</v>
      </c>
    </row>
    <row r="13" ht="21.0" customHeight="1">
      <c r="A13" s="18"/>
      <c r="B13" s="18"/>
      <c r="C13" s="21">
        <v>6855.0</v>
      </c>
      <c r="D13" s="18"/>
      <c r="E13" s="18"/>
      <c r="F13" s="15">
        <f>(C13-D7)/E7</f>
        <v>0.08295589528</v>
      </c>
      <c r="G13" s="15" t="b">
        <f t="shared" si="1"/>
        <v>0</v>
      </c>
    </row>
    <row r="14" ht="21.0" customHeight="1">
      <c r="A14" s="6" t="s">
        <v>57</v>
      </c>
      <c r="B14" s="8">
        <v>1000.0</v>
      </c>
      <c r="C14" s="10">
        <v>5296.0</v>
      </c>
      <c r="D14" s="12">
        <f>AVERAGE(C14:C20)</f>
        <v>6026.428571</v>
      </c>
      <c r="E14" s="12">
        <f>STDEV(C14:C20)</f>
        <v>947.86934</v>
      </c>
      <c r="F14" s="15">
        <f>(C14-D14)/E14</f>
        <v>-0.7706004832</v>
      </c>
      <c r="G14" s="15" t="b">
        <f t="shared" si="1"/>
        <v>0</v>
      </c>
    </row>
    <row r="15" ht="21.0" customHeight="1">
      <c r="A15" s="16"/>
      <c r="B15" s="16"/>
      <c r="C15" s="10">
        <v>5497.0</v>
      </c>
      <c r="D15" s="16"/>
      <c r="E15" s="16"/>
      <c r="F15" s="15">
        <f>(C15-D14)/E14</f>
        <v>-0.5585459399</v>
      </c>
      <c r="G15" s="15" t="b">
        <f t="shared" si="1"/>
        <v>0</v>
      </c>
    </row>
    <row r="16" ht="21.0" customHeight="1">
      <c r="A16" s="16"/>
      <c r="B16" s="16"/>
      <c r="C16" s="10">
        <v>6387.0</v>
      </c>
      <c r="D16" s="16"/>
      <c r="E16" s="16"/>
      <c r="F16" s="15">
        <f>(C16-D14)/E14</f>
        <v>0.3804020379</v>
      </c>
      <c r="G16" s="15" t="b">
        <f t="shared" si="1"/>
        <v>0</v>
      </c>
    </row>
    <row r="17" ht="21.0" customHeight="1">
      <c r="A17" s="16"/>
      <c r="B17" s="16"/>
      <c r="C17" s="10">
        <v>6350.0</v>
      </c>
      <c r="D17" s="16"/>
      <c r="E17" s="16"/>
      <c r="F17" s="15">
        <f>(C17-D14)/E14</f>
        <v>0.3413671219</v>
      </c>
      <c r="G17" s="15" t="b">
        <f t="shared" si="1"/>
        <v>0</v>
      </c>
    </row>
    <row r="18" ht="21.0" customHeight="1">
      <c r="A18" s="16"/>
      <c r="B18" s="16"/>
      <c r="C18" s="10">
        <v>4938.0</v>
      </c>
      <c r="D18" s="16"/>
      <c r="E18" s="16"/>
      <c r="F18" s="15">
        <f>(C18-D14)/E14</f>
        <v>-1.14828967</v>
      </c>
      <c r="G18" s="15" t="b">
        <f t="shared" si="1"/>
        <v>0</v>
      </c>
    </row>
    <row r="19" ht="21.0" customHeight="1">
      <c r="A19" s="16"/>
      <c r="B19" s="16"/>
      <c r="C19" s="10">
        <v>5917.0</v>
      </c>
      <c r="D19" s="16"/>
      <c r="E19" s="16"/>
      <c r="F19" s="15">
        <f>(C19-D14)/E14</f>
        <v>-0.1154468942</v>
      </c>
      <c r="G19" s="15" t="b">
        <f t="shared" si="1"/>
        <v>0</v>
      </c>
    </row>
    <row r="20" ht="21.0" customHeight="1">
      <c r="A20" s="18"/>
      <c r="B20" s="18"/>
      <c r="C20" s="10">
        <v>7800.0</v>
      </c>
      <c r="D20" s="18"/>
      <c r="E20" s="18"/>
      <c r="F20" s="15">
        <f>(C20-D14)/E14</f>
        <v>1.871113827</v>
      </c>
      <c r="G20" s="15" t="b">
        <f t="shared" si="1"/>
        <v>0</v>
      </c>
    </row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</sheetData>
  <mergeCells count="12">
    <mergeCell ref="A7:A13"/>
    <mergeCell ref="A14:A20"/>
    <mergeCell ref="B14:B20"/>
    <mergeCell ref="D14:D20"/>
    <mergeCell ref="E14:E20"/>
    <mergeCell ref="A2:A6"/>
    <mergeCell ref="B2:B6"/>
    <mergeCell ref="D2:D6"/>
    <mergeCell ref="E2:E6"/>
    <mergeCell ref="B7:B13"/>
    <mergeCell ref="D7:D13"/>
    <mergeCell ref="E7:E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2.86"/>
    <col customWidth="1" min="4" max="4" width="15.86"/>
    <col customWidth="1" min="8" max="8" width="15.57"/>
    <col customWidth="1" min="11" max="11" width="11.29"/>
    <col customWidth="1" min="13" max="13" width="13.43"/>
  </cols>
  <sheetData>
    <row r="1" ht="41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3" t="s">
        <v>8</v>
      </c>
      <c r="G1" s="1" t="s">
        <v>11</v>
      </c>
      <c r="H1" s="1" t="s">
        <v>13</v>
      </c>
      <c r="I1" s="1" t="s">
        <v>15</v>
      </c>
      <c r="J1" s="3" t="s">
        <v>17</v>
      </c>
      <c r="K1" s="1" t="s">
        <v>19</v>
      </c>
      <c r="L1" s="1" t="s">
        <v>22</v>
      </c>
      <c r="M1" s="1" t="s">
        <v>25</v>
      </c>
      <c r="N1" s="3" t="s">
        <v>27</v>
      </c>
    </row>
    <row r="2" ht="23.25" customHeight="1">
      <c r="A2" s="9">
        <v>1000.0</v>
      </c>
      <c r="B2" s="9" t="s">
        <v>9</v>
      </c>
      <c r="C2" s="13">
        <f>AVERAGE('1. Raw Data'!O2:O5,'1. Raw Data'!O8)</f>
        <v>5502.2</v>
      </c>
      <c r="D2" s="11">
        <f>AVERAGE('1. Raw Data'!O9:O15)</f>
        <v>6781.571429</v>
      </c>
      <c r="E2" s="13">
        <f>AVERAGE('1. Raw Data'!O16:O22)</f>
        <v>6026.428571</v>
      </c>
      <c r="F2" s="14" t="s">
        <v>29</v>
      </c>
      <c r="G2" s="11">
        <f>STDEV('1. Raw Data'!O2:O5,'1. Raw Data'!O8)</f>
        <v>1713.133591</v>
      </c>
      <c r="H2" s="13">
        <f>STDEV('1. Raw Data'!O9:O15)</f>
        <v>885.1519375</v>
      </c>
      <c r="I2" s="13">
        <f>STDEV('1. Raw Data'!O16:O22)</f>
        <v>947.86934</v>
      </c>
      <c r="J2" s="14" t="s">
        <v>51</v>
      </c>
      <c r="K2" s="11">
        <f t="shared" ref="K2:M2" si="1">(G2/C2)*100</f>
        <v>31.1354293</v>
      </c>
      <c r="L2" s="13">
        <f t="shared" si="1"/>
        <v>13.05231312</v>
      </c>
      <c r="M2" s="13">
        <f t="shared" si="1"/>
        <v>15.72854185</v>
      </c>
      <c r="N2" s="17" t="s">
        <v>51</v>
      </c>
    </row>
    <row r="3" ht="23.25" customHeight="1">
      <c r="A3" s="9">
        <v>1000.0</v>
      </c>
      <c r="B3" s="9" t="s">
        <v>33</v>
      </c>
      <c r="C3" s="13">
        <f>AVERAGE('1. Raw Data'!P2:P5,'1. Raw Data'!P8)</f>
        <v>10756</v>
      </c>
      <c r="D3" s="11">
        <f>AVERAGE('1. Raw Data'!P9:P15)</f>
        <v>11846.71429</v>
      </c>
      <c r="E3" s="13">
        <f>AVERAGE('1. Raw Data'!P16:P22)</f>
        <v>10818.57143</v>
      </c>
      <c r="F3" s="14" t="s">
        <v>29</v>
      </c>
      <c r="G3" s="13">
        <f>STDEV('1. Raw Data'!P2:P5,'1. Raw Data'!P8)</f>
        <v>1370.409793</v>
      </c>
      <c r="H3" s="11">
        <f>STDEV('1. Raw Data'!P9:P15)</f>
        <v>1589.892839</v>
      </c>
      <c r="I3" s="13">
        <f>STDEV('1. Raw Data'!P16:P22)</f>
        <v>1020.225279</v>
      </c>
      <c r="J3" s="14" t="s">
        <v>50</v>
      </c>
      <c r="K3" s="13">
        <f t="shared" ref="K3:M3" si="2">(G3/C3)*100</f>
        <v>12.74088688</v>
      </c>
      <c r="L3" s="11">
        <f t="shared" si="2"/>
        <v>13.42053839</v>
      </c>
      <c r="M3" s="13">
        <f t="shared" si="2"/>
        <v>9.430314208</v>
      </c>
      <c r="N3" s="17" t="s">
        <v>50</v>
      </c>
    </row>
    <row r="4" ht="23.25" customHeight="1">
      <c r="A4" s="9">
        <v>1000.0</v>
      </c>
      <c r="B4" s="9" t="s">
        <v>34</v>
      </c>
      <c r="C4" s="13">
        <f>AVERAGE('1. Raw Data'!Q2:Q5,'1. Raw Data'!Q8)</f>
        <v>1024</v>
      </c>
      <c r="D4" s="11">
        <f>AVERAGE('1. Raw Data'!Q9:Q15)</f>
        <v>1295.285714</v>
      </c>
      <c r="E4" s="13">
        <f>AVERAGE('1. Raw Data'!Q16:Q22)</f>
        <v>1132.428571</v>
      </c>
      <c r="F4" s="14" t="s">
        <v>29</v>
      </c>
      <c r="G4" s="13">
        <f>STDEV('1. Raw Data'!Q2:Q5,'1. Raw Data'!Q8)</f>
        <v>166.2453007</v>
      </c>
      <c r="H4" s="11">
        <f>STDEV('1. Raw Data'!Q9:Q15)</f>
        <v>306.451037</v>
      </c>
      <c r="I4" s="13">
        <f>STDEV('1. Raw Data'!Q16:Q22)</f>
        <v>137.6939325</v>
      </c>
      <c r="J4" s="14" t="s">
        <v>50</v>
      </c>
      <c r="K4" s="13">
        <f t="shared" ref="K4:M4" si="3">(G4/C4)*100</f>
        <v>16.23489265</v>
      </c>
      <c r="L4" s="11">
        <f t="shared" si="3"/>
        <v>23.6589529</v>
      </c>
      <c r="M4" s="13">
        <f t="shared" si="3"/>
        <v>12.15917153</v>
      </c>
      <c r="N4" s="17" t="s">
        <v>50</v>
      </c>
    </row>
    <row r="5" ht="23.25" customHeight="1">
      <c r="A5" s="9">
        <v>1000.0</v>
      </c>
      <c r="B5" s="9" t="s">
        <v>35</v>
      </c>
      <c r="C5" s="13">
        <f>AVERAGE('1. Raw Data'!R2:R5,'1. Raw Data'!R8)</f>
        <v>14</v>
      </c>
      <c r="D5" s="11">
        <f>AVERAGE('1. Raw Data'!R9:R15)</f>
        <v>17.28571429</v>
      </c>
      <c r="E5" s="13">
        <f>AVERAGE('1. Raw Data'!R16:R22)</f>
        <v>13.85714286</v>
      </c>
      <c r="F5" s="14" t="s">
        <v>50</v>
      </c>
      <c r="G5" s="13">
        <f>STDEV('1. Raw Data'!R2:R5,'1. Raw Data'!R8)</f>
        <v>0</v>
      </c>
      <c r="H5" s="11">
        <f>STDEV('1. Raw Data'!R9:R15)</f>
        <v>1.603567451</v>
      </c>
      <c r="I5" s="13">
        <f>STDEV('1. Raw Data'!R16:R22)</f>
        <v>0.8997354108</v>
      </c>
      <c r="J5" s="14" t="s">
        <v>29</v>
      </c>
      <c r="K5" s="13">
        <f t="shared" ref="K5:M5" si="4">(G5/C5)*100</f>
        <v>0</v>
      </c>
      <c r="L5" s="11">
        <f t="shared" si="4"/>
        <v>9.276836496</v>
      </c>
      <c r="M5" s="13">
        <f t="shared" si="4"/>
        <v>6.492935955</v>
      </c>
      <c r="N5" s="17" t="s">
        <v>29</v>
      </c>
    </row>
    <row r="6" ht="23.25" customHeight="1"/>
    <row r="7" ht="23.25" customHeight="1"/>
    <row r="8" ht="23.25" customHeight="1"/>
    <row r="9" ht="23.25" customHeight="1"/>
    <row r="10" ht="23.25" customHeight="1"/>
    <row r="11" ht="23.25" customHeight="1"/>
    <row r="12" ht="23.25" customHeight="1"/>
    <row r="13" ht="23.25" customHeight="1"/>
    <row r="14" ht="23.25" customHeight="1"/>
    <row r="15" ht="23.25" customHeight="1"/>
    <row r="16" ht="23.25" customHeight="1"/>
    <row r="17" ht="23.25" customHeight="1"/>
    <row r="18" ht="23.25" customHeight="1"/>
    <row r="19" ht="23.25" customHeight="1"/>
    <row r="20" ht="23.25" customHeight="1"/>
    <row r="21" ht="23.25" customHeight="1"/>
    <row r="22" ht="23.25" customHeight="1"/>
    <row r="23" ht="23.25" customHeight="1"/>
    <row r="24" ht="23.25" customHeight="1"/>
    <row r="25" ht="23.25" customHeight="1"/>
    <row r="26" ht="23.25" customHeight="1"/>
    <row r="27" ht="23.25" customHeight="1"/>
    <row r="28" ht="23.25" customHeight="1"/>
    <row r="29" ht="23.25" customHeight="1"/>
    <row r="30" ht="23.25" customHeight="1"/>
    <row r="31" ht="23.25" customHeight="1"/>
    <row r="32" ht="23.25" customHeight="1"/>
    <row r="33" ht="23.25" customHeight="1"/>
    <row r="34" ht="23.2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3.25" customHeight="1"/>
    <row r="251" ht="23.25" customHeight="1"/>
    <row r="252" ht="23.25" customHeight="1"/>
    <row r="253" ht="23.25" customHeight="1"/>
    <row r="254" ht="23.25" customHeight="1"/>
    <row r="255" ht="23.25" customHeight="1"/>
    <row r="256" ht="23.25" customHeight="1"/>
    <row r="257" ht="23.25" customHeight="1"/>
    <row r="258" ht="23.25" customHeight="1"/>
    <row r="259" ht="23.25" customHeight="1"/>
    <row r="260" ht="23.25" customHeight="1"/>
    <row r="261" ht="23.25" customHeight="1"/>
    <row r="262" ht="23.25" customHeight="1"/>
    <row r="263" ht="23.25" customHeight="1"/>
    <row r="264" ht="23.25" customHeight="1"/>
    <row r="265" ht="23.25" customHeight="1"/>
    <row r="266" ht="23.25" customHeight="1"/>
    <row r="267" ht="23.25" customHeight="1"/>
    <row r="268" ht="23.25" customHeight="1"/>
    <row r="269" ht="23.25" customHeight="1"/>
    <row r="270" ht="23.25" customHeight="1"/>
    <row r="271" ht="23.25" customHeight="1"/>
    <row r="272" ht="23.25" customHeight="1"/>
    <row r="273" ht="23.25" customHeight="1"/>
    <row r="274" ht="23.25" customHeight="1"/>
    <row r="275" ht="23.25" customHeight="1"/>
    <row r="276" ht="23.25" customHeight="1"/>
    <row r="277" ht="23.25" customHeight="1"/>
    <row r="278" ht="23.25" customHeight="1"/>
    <row r="279" ht="23.25" customHeight="1"/>
    <row r="280" ht="23.25" customHeight="1"/>
    <row r="281" ht="23.25" customHeight="1"/>
    <row r="282" ht="23.25" customHeight="1"/>
    <row r="283" ht="23.25" customHeight="1"/>
    <row r="284" ht="23.25" customHeight="1"/>
    <row r="285" ht="23.25" customHeight="1"/>
    <row r="286" ht="23.25" customHeight="1"/>
    <row r="287" ht="23.25" customHeight="1"/>
    <row r="288" ht="23.25" customHeight="1"/>
    <row r="289" ht="23.25" customHeight="1"/>
    <row r="290" ht="23.25" customHeight="1"/>
    <row r="291" ht="23.25" customHeight="1"/>
    <row r="292" ht="23.25" customHeight="1"/>
    <row r="293" ht="23.25" customHeight="1"/>
    <row r="294" ht="23.25" customHeight="1"/>
    <row r="295" ht="23.25" customHeight="1"/>
    <row r="296" ht="23.25" customHeight="1"/>
    <row r="297" ht="23.25" customHeight="1"/>
    <row r="298" ht="23.25" customHeight="1"/>
    <row r="299" ht="23.25" customHeight="1"/>
    <row r="300" ht="23.25" customHeight="1"/>
    <row r="301" ht="23.25" customHeight="1"/>
    <row r="302" ht="23.25" customHeight="1"/>
    <row r="303" ht="23.25" customHeight="1"/>
    <row r="304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ht="23.25" customHeight="1"/>
    <row r="338" ht="23.25" customHeight="1"/>
    <row r="339" ht="23.25" customHeight="1"/>
    <row r="340" ht="23.25" customHeight="1"/>
    <row r="341" ht="23.25" customHeight="1"/>
    <row r="342" ht="23.25" customHeight="1"/>
    <row r="343" ht="23.25" customHeight="1"/>
    <row r="344" ht="23.25" customHeight="1"/>
    <row r="345" ht="23.25" customHeight="1"/>
    <row r="346" ht="23.25" customHeight="1"/>
    <row r="347" ht="23.25" customHeight="1"/>
    <row r="348" ht="23.25" customHeight="1"/>
    <row r="349" ht="23.25" customHeight="1"/>
    <row r="350" ht="23.25" customHeight="1"/>
    <row r="351" ht="23.25" customHeight="1"/>
    <row r="352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  <row r="998" ht="23.25" customHeight="1"/>
    <row r="999" ht="23.25" customHeight="1"/>
    <row r="1000" ht="23.2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16.0"/>
  </cols>
  <sheetData>
    <row r="1" ht="38.25" customHeight="1">
      <c r="A1" s="37" t="s">
        <v>0</v>
      </c>
      <c r="B1" s="37" t="s">
        <v>2</v>
      </c>
      <c r="C1" s="37" t="s">
        <v>84</v>
      </c>
      <c r="D1" s="37" t="s">
        <v>85</v>
      </c>
      <c r="E1" s="37" t="s">
        <v>86</v>
      </c>
      <c r="F1" s="38" t="s">
        <v>87</v>
      </c>
      <c r="G1" s="38" t="s">
        <v>88</v>
      </c>
      <c r="H1" s="37" t="s">
        <v>89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2" ht="21.75" customHeight="1">
      <c r="A2" s="40" t="s">
        <v>90</v>
      </c>
      <c r="B2" s="40" t="s">
        <v>9</v>
      </c>
      <c r="C2" s="41">
        <f>AVERAGE('1. Raw Data'!O2:O5,'1. Raw Data'!O8)</f>
        <v>5502.2</v>
      </c>
      <c r="D2" s="11">
        <f>AVERAGE('1. Raw Data'!O9:O15)</f>
        <v>6781.571429</v>
      </c>
      <c r="E2" s="13">
        <f>AVERAGE('1. Raw Data'!O16:O22)</f>
        <v>6026.428571</v>
      </c>
      <c r="F2" s="17" t="s">
        <v>29</v>
      </c>
      <c r="G2" s="42">
        <f t="shared" ref="G2:G4" si="1">(D2-C2)/C2</f>
        <v>0.232519979</v>
      </c>
      <c r="H2" s="40" t="s">
        <v>91</v>
      </c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 ht="21.75" customHeight="1">
      <c r="A3" s="40">
        <v>100.0</v>
      </c>
      <c r="B3" s="40" t="s">
        <v>33</v>
      </c>
      <c r="C3" s="41">
        <f>AVERAGE('1. Raw Data'!P2:P5,'1. Raw Data'!P8)</f>
        <v>10756</v>
      </c>
      <c r="D3" s="11">
        <f>AVERAGE('1. Raw Data'!P9:P15)</f>
        <v>11846.71429</v>
      </c>
      <c r="E3" s="13">
        <f>AVERAGE('1. Raw Data'!P16:P22)</f>
        <v>10818.57143</v>
      </c>
      <c r="F3" s="17" t="s">
        <v>29</v>
      </c>
      <c r="G3" s="42">
        <f t="shared" si="1"/>
        <v>0.1014051958</v>
      </c>
      <c r="H3" s="40" t="s">
        <v>92</v>
      </c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</row>
    <row r="4" ht="21.75" customHeight="1">
      <c r="A4" s="40">
        <v>100.0</v>
      </c>
      <c r="B4" s="40" t="s">
        <v>34</v>
      </c>
      <c r="C4" s="41">
        <f>AVERAGE('1. Raw Data'!Q2:Q5,'1. Raw Data'!Q8)</f>
        <v>1024</v>
      </c>
      <c r="D4" s="11">
        <f>AVERAGE('1. Raw Data'!Q9:Q15)</f>
        <v>1295.285714</v>
      </c>
      <c r="E4" s="13">
        <f>AVERAGE('1. Raw Data'!Q16:Q22)</f>
        <v>1132.428571</v>
      </c>
      <c r="F4" s="17" t="s">
        <v>29</v>
      </c>
      <c r="G4" s="42">
        <f t="shared" si="1"/>
        <v>0.2649274554</v>
      </c>
      <c r="H4" s="40" t="s">
        <v>93</v>
      </c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</row>
    <row r="5" ht="21.75" customHeight="1">
      <c r="A5" s="40">
        <v>100.0</v>
      </c>
      <c r="B5" s="40" t="s">
        <v>35</v>
      </c>
      <c r="C5" s="13">
        <f>AVERAGE('1. Raw Data'!R2:R5,'1. Raw Data'!R8)</f>
        <v>14</v>
      </c>
      <c r="D5" s="11">
        <f>AVERAGE('1. Raw Data'!R9:R15)</f>
        <v>17.28571429</v>
      </c>
      <c r="E5" s="41">
        <f>AVERAGE('1. Raw Data'!R16:R22)</f>
        <v>13.85714286</v>
      </c>
      <c r="F5" s="17" t="s">
        <v>50</v>
      </c>
      <c r="G5" s="43">
        <f>(D5-E5)/E5</f>
        <v>0.2474226804</v>
      </c>
      <c r="H5" s="40" t="s">
        <v>93</v>
      </c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</row>
    <row r="6" ht="21.75" customHeight="1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ht="21.7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</row>
    <row r="8" ht="21.75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</row>
    <row r="9" ht="21.75" customHeight="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</row>
    <row r="10" ht="21.75" customHeight="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</row>
    <row r="11" ht="21.75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</row>
    <row r="12" ht="21.7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</row>
    <row r="13" ht="21.75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</row>
    <row r="14" ht="21.75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</row>
    <row r="15" ht="21.75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</row>
    <row r="16" ht="21.7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 ht="21.7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</row>
    <row r="18" ht="21.7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 ht="21.7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 ht="21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</row>
    <row r="21" ht="21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 ht="21.7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 ht="21.7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</row>
    <row r="24" ht="21.7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</row>
    <row r="25" ht="21.7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 ht="21.7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 ht="21.7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 ht="21.75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</row>
    <row r="29" ht="21.75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</row>
    <row r="30" ht="21.7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</row>
    <row r="31" ht="21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 ht="21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</row>
    <row r="33" ht="21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 ht="21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ht="21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ht="21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ht="21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</row>
    <row r="38" ht="21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ht="21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 ht="21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ht="21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</row>
    <row r="42" ht="21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</row>
    <row r="43" ht="21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</row>
    <row r="44" ht="21.75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</row>
    <row r="45" ht="21.75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</row>
    <row r="46" ht="21.75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</row>
    <row r="47" ht="21.75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</row>
    <row r="48" ht="21.75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</row>
    <row r="49" ht="21.75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</row>
    <row r="50" ht="21.75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</row>
    <row r="51" ht="21.75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</row>
    <row r="52" ht="21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</row>
    <row r="53" ht="21.75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</row>
    <row r="54" ht="21.75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</row>
    <row r="55" ht="21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</row>
    <row r="56" ht="21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</row>
    <row r="57" ht="21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</row>
    <row r="58" ht="21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</row>
    <row r="59" ht="21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</row>
    <row r="60" ht="21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</row>
    <row r="61" ht="21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</row>
    <row r="62" ht="21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</row>
    <row r="63" ht="21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</row>
    <row r="64" ht="21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</row>
    <row r="65" ht="21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</row>
    <row r="66" ht="21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</row>
    <row r="67" ht="21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</row>
    <row r="68" ht="21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</row>
    <row r="69" ht="21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</row>
    <row r="70" ht="21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</row>
    <row r="71" ht="21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</row>
    <row r="72" ht="21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</row>
    <row r="73" ht="21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</row>
    <row r="74" ht="21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</row>
    <row r="75" ht="21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</row>
    <row r="76" ht="21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</row>
    <row r="77" ht="21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</row>
    <row r="78" ht="21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 ht="21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 ht="21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</row>
    <row r="81" ht="21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</row>
    <row r="82" ht="21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</row>
    <row r="83" ht="21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</row>
    <row r="84" ht="21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</row>
    <row r="85" ht="21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</row>
    <row r="86" ht="21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</row>
    <row r="87" ht="21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</row>
    <row r="88" ht="21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</row>
    <row r="89" ht="21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</row>
    <row r="90" ht="21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</row>
    <row r="91" ht="21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</row>
    <row r="92" ht="21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</row>
    <row r="93" ht="21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</row>
    <row r="94" ht="21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</row>
    <row r="95" ht="21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</row>
    <row r="96" ht="21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</row>
    <row r="97" ht="21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</row>
    <row r="98" ht="21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ht="21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ht="21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</row>
    <row r="101" ht="21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</row>
    <row r="102" ht="21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</row>
    <row r="103" ht="21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</row>
    <row r="104" ht="21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</row>
    <row r="105" ht="21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</row>
    <row r="106" ht="21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</row>
    <row r="107" ht="21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</row>
    <row r="108" ht="21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</row>
    <row r="109" ht="21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</row>
    <row r="110" ht="21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</row>
    <row r="111" ht="21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</row>
    <row r="112" ht="21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</row>
    <row r="113" ht="21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</row>
    <row r="114" ht="21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</row>
    <row r="115" ht="21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</row>
    <row r="116" ht="21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</row>
    <row r="117" ht="21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</row>
    <row r="118" ht="21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</row>
    <row r="119" ht="21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</row>
    <row r="120" ht="21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</row>
    <row r="121" ht="21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</row>
    <row r="122" ht="21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</row>
    <row r="123" ht="21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</row>
    <row r="124" ht="21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</row>
    <row r="125" ht="21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</row>
    <row r="126" ht="21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</row>
    <row r="127" ht="21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</row>
    <row r="128" ht="21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</row>
    <row r="129" ht="21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</row>
    <row r="130" ht="21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</row>
    <row r="131" ht="21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</row>
    <row r="132" ht="21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</row>
    <row r="133" ht="21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</row>
    <row r="134" ht="21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</row>
    <row r="135" ht="21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</row>
    <row r="136" ht="21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</row>
    <row r="137" ht="21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</row>
    <row r="138" ht="21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</row>
    <row r="139" ht="21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</row>
    <row r="140" ht="21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</row>
    <row r="141" ht="21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</row>
    <row r="142" ht="21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</row>
    <row r="143" ht="21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</row>
    <row r="144" ht="21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</row>
    <row r="145" ht="21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</row>
    <row r="146" ht="21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</row>
    <row r="147" ht="21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</row>
    <row r="148" ht="21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</row>
    <row r="149" ht="21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</row>
    <row r="150" ht="21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</row>
    <row r="151" ht="21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</row>
    <row r="152" ht="21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</row>
    <row r="153" ht="21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</row>
    <row r="154" ht="21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</row>
    <row r="155" ht="21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</row>
    <row r="156" ht="21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</row>
    <row r="157" ht="21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</row>
    <row r="158" ht="21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</row>
    <row r="159" ht="21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</row>
    <row r="160" ht="21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</row>
    <row r="161" ht="21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</row>
    <row r="162" ht="21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</row>
    <row r="163" ht="21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</row>
    <row r="164" ht="21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</row>
    <row r="165" ht="21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</row>
    <row r="166" ht="21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</row>
    <row r="167" ht="21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</row>
    <row r="168" ht="21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</row>
    <row r="169" ht="21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</row>
    <row r="170" ht="21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</row>
    <row r="171" ht="21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</row>
    <row r="172" ht="21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</row>
    <row r="173" ht="21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</row>
    <row r="174" ht="21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</row>
    <row r="175" ht="21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</row>
    <row r="176" ht="21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</row>
    <row r="177" ht="21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</row>
    <row r="178" ht="21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</row>
    <row r="179" ht="21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</row>
    <row r="180" ht="21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</row>
    <row r="181" ht="21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</row>
    <row r="182" ht="21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</row>
    <row r="183" ht="21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</row>
    <row r="184" ht="21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</row>
    <row r="185" ht="21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</row>
    <row r="186" ht="21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</row>
    <row r="187" ht="21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</row>
    <row r="188" ht="21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</row>
    <row r="189" ht="21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</row>
    <row r="190" ht="21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</row>
    <row r="191" ht="21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</row>
    <row r="192" ht="21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</row>
    <row r="193" ht="21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</row>
    <row r="194" ht="21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</row>
    <row r="195" ht="21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</row>
    <row r="196" ht="21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</row>
    <row r="197" ht="21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</row>
    <row r="198" ht="21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</row>
    <row r="199" ht="21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</row>
    <row r="200" ht="21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</row>
    <row r="201" ht="21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</row>
    <row r="202" ht="21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</row>
    <row r="203" ht="21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</row>
    <row r="204" ht="21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</row>
    <row r="205" ht="21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</row>
    <row r="206" ht="21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</row>
    <row r="207" ht="21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</row>
    <row r="208" ht="21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</row>
    <row r="209" ht="21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</row>
    <row r="210" ht="21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</row>
    <row r="211" ht="21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</row>
    <row r="212" ht="21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</row>
    <row r="213" ht="21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</row>
    <row r="214" ht="21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</row>
    <row r="215" ht="21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</row>
    <row r="216" ht="21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</row>
    <row r="217" ht="21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</row>
    <row r="218" ht="21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</row>
    <row r="219" ht="21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</row>
    <row r="220" ht="21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</row>
    <row r="221" ht="21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</row>
    <row r="222" ht="21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</row>
    <row r="223" ht="21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</row>
    <row r="224" ht="21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</row>
    <row r="225" ht="21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</row>
    <row r="226" ht="21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</row>
    <row r="227" ht="21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</row>
    <row r="228" ht="21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</row>
    <row r="229" ht="21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</row>
    <row r="230" ht="21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</row>
    <row r="231" ht="21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</row>
    <row r="232" ht="21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</row>
    <row r="233" ht="21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</row>
    <row r="234" ht="21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</row>
    <row r="235" ht="21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</row>
    <row r="236" ht="21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</row>
    <row r="237" ht="21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</row>
    <row r="238" ht="21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</row>
    <row r="239" ht="21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</row>
    <row r="240" ht="21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</row>
    <row r="241" ht="21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</row>
    <row r="242" ht="21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</row>
    <row r="243" ht="21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</row>
    <row r="244" ht="21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</row>
    <row r="245" ht="21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</row>
    <row r="246" ht="21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</row>
    <row r="247" ht="21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</row>
    <row r="248" ht="21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</row>
    <row r="249" ht="21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</row>
    <row r="250" ht="21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</row>
    <row r="251" ht="21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</row>
    <row r="252" ht="21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</row>
    <row r="253" ht="21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</row>
    <row r="254" ht="21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</row>
    <row r="255" ht="21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</row>
    <row r="256" ht="21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</row>
    <row r="257" ht="21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</row>
    <row r="258" ht="21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</row>
    <row r="259" ht="21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</row>
    <row r="260" ht="21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</row>
    <row r="261" ht="21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</row>
    <row r="262" ht="21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</row>
    <row r="263" ht="21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</row>
    <row r="264" ht="21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</row>
    <row r="265" ht="21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</row>
    <row r="266" ht="21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</row>
    <row r="267" ht="21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</row>
    <row r="268" ht="21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</row>
    <row r="269" ht="21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</row>
    <row r="270" ht="21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</row>
    <row r="271" ht="21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</row>
    <row r="272" ht="21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</row>
    <row r="273" ht="21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</row>
    <row r="274" ht="21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</row>
    <row r="275" ht="21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</row>
    <row r="276" ht="21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</row>
    <row r="277" ht="21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</row>
    <row r="278" ht="21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</row>
    <row r="279" ht="21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</row>
    <row r="280" ht="21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</row>
    <row r="281" ht="21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</row>
    <row r="282" ht="21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</row>
    <row r="283" ht="21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</row>
    <row r="284" ht="21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</row>
    <row r="285" ht="21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</row>
    <row r="286" ht="21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</row>
    <row r="287" ht="21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</row>
    <row r="288" ht="21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</row>
    <row r="289" ht="21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</row>
    <row r="290" ht="21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</row>
    <row r="291" ht="21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</row>
    <row r="292" ht="21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</row>
    <row r="293" ht="21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</row>
    <row r="294" ht="21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</row>
    <row r="295" ht="21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</row>
    <row r="296" ht="21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</row>
    <row r="297" ht="21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</row>
    <row r="298" ht="21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</row>
    <row r="299" ht="21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</row>
    <row r="300" ht="21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</row>
    <row r="301" ht="21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</row>
    <row r="302" ht="21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</row>
    <row r="303" ht="21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</row>
    <row r="304" ht="21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</row>
    <row r="305" ht="21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</row>
    <row r="306" ht="21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</row>
    <row r="307" ht="21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</row>
    <row r="308" ht="21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</row>
    <row r="309" ht="21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</row>
    <row r="310" ht="21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</row>
    <row r="311" ht="21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</row>
    <row r="312" ht="21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</row>
    <row r="313" ht="21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</row>
    <row r="314" ht="21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</row>
    <row r="315" ht="21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</row>
    <row r="316" ht="21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</row>
    <row r="317" ht="21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</row>
    <row r="318" ht="21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</row>
    <row r="319" ht="21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</row>
    <row r="320" ht="21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</row>
    <row r="321" ht="21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</row>
    <row r="322" ht="21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</row>
    <row r="323" ht="21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</row>
    <row r="324" ht="21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</row>
    <row r="325" ht="21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</row>
    <row r="326" ht="21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</row>
    <row r="327" ht="21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</row>
    <row r="328" ht="21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</row>
    <row r="329" ht="21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</row>
    <row r="330" ht="21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</row>
    <row r="331" ht="21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</row>
    <row r="332" ht="21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</row>
    <row r="333" ht="21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</row>
    <row r="334" ht="21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</row>
    <row r="335" ht="21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</row>
    <row r="336" ht="21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</row>
    <row r="337" ht="21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</row>
    <row r="338" ht="21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</row>
    <row r="339" ht="21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</row>
    <row r="340" ht="21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</row>
    <row r="341" ht="21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</row>
    <row r="342" ht="21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</row>
    <row r="343" ht="21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</row>
    <row r="344" ht="21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</row>
    <row r="345" ht="21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</row>
    <row r="346" ht="21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</row>
    <row r="347" ht="21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</row>
    <row r="348" ht="21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</row>
    <row r="349" ht="21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</row>
    <row r="350" ht="21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</row>
    <row r="351" ht="21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</row>
    <row r="352" ht="21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</row>
    <row r="353" ht="21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</row>
    <row r="354" ht="21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</row>
    <row r="355" ht="21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</row>
    <row r="356" ht="21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</row>
    <row r="357" ht="21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</row>
    <row r="358" ht="21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</row>
    <row r="359" ht="21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</row>
    <row r="360" ht="21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</row>
    <row r="361" ht="21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</row>
    <row r="362" ht="21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</row>
    <row r="363" ht="21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</row>
    <row r="364" ht="21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</row>
    <row r="365" ht="21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</row>
    <row r="366" ht="21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</row>
    <row r="367" ht="21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</row>
    <row r="368" ht="21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</row>
    <row r="369" ht="21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</row>
    <row r="370" ht="21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</row>
    <row r="371" ht="21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</row>
    <row r="372" ht="21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</row>
    <row r="373" ht="21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</row>
    <row r="374" ht="21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</row>
    <row r="375" ht="21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</row>
    <row r="376" ht="21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</row>
    <row r="377" ht="21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</row>
    <row r="378" ht="21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</row>
    <row r="379" ht="21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</row>
    <row r="380" ht="21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</row>
    <row r="381" ht="21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</row>
    <row r="382" ht="21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</row>
    <row r="383" ht="21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</row>
    <row r="384" ht="21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</row>
    <row r="385" ht="21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</row>
    <row r="386" ht="21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</row>
    <row r="387" ht="21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</row>
    <row r="388" ht="21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</row>
    <row r="389" ht="21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</row>
    <row r="390" ht="21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</row>
    <row r="391" ht="21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</row>
    <row r="392" ht="21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</row>
    <row r="393" ht="21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</row>
    <row r="394" ht="21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</row>
    <row r="395" ht="21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</row>
    <row r="396" ht="21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</row>
    <row r="397" ht="21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</row>
    <row r="398" ht="21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</row>
    <row r="399" ht="21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</row>
    <row r="400" ht="21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</row>
    <row r="401" ht="21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</row>
    <row r="402" ht="21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</row>
    <row r="403" ht="21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</row>
    <row r="404" ht="21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</row>
    <row r="405" ht="21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</row>
    <row r="406" ht="21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</row>
    <row r="407" ht="21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</row>
    <row r="408" ht="21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</row>
    <row r="409" ht="21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</row>
    <row r="410" ht="21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</row>
    <row r="411" ht="21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</row>
    <row r="412" ht="21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</row>
    <row r="413" ht="21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</row>
    <row r="414" ht="21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</row>
    <row r="415" ht="21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</row>
    <row r="416" ht="21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</row>
    <row r="417" ht="21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</row>
    <row r="418" ht="21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</row>
    <row r="419" ht="21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</row>
    <row r="420" ht="21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</row>
    <row r="421" ht="21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</row>
    <row r="422" ht="21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</row>
    <row r="423" ht="21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</row>
    <row r="424" ht="21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</row>
    <row r="425" ht="21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</row>
    <row r="426" ht="21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</row>
    <row r="427" ht="21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</row>
    <row r="428" ht="21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</row>
    <row r="429" ht="21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</row>
    <row r="430" ht="21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</row>
    <row r="431" ht="21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</row>
    <row r="432" ht="21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</row>
    <row r="433" ht="21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</row>
    <row r="434" ht="21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</row>
    <row r="435" ht="21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</row>
    <row r="436" ht="21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</row>
    <row r="437" ht="21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</row>
    <row r="438" ht="21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</row>
    <row r="439" ht="21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</row>
    <row r="440" ht="21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</row>
    <row r="441" ht="21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</row>
    <row r="442" ht="21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</row>
    <row r="443" ht="21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</row>
    <row r="444" ht="21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</row>
    <row r="445" ht="21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</row>
    <row r="446" ht="21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</row>
    <row r="447" ht="21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</row>
    <row r="448" ht="21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</row>
    <row r="449" ht="21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</row>
    <row r="450" ht="21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</row>
    <row r="451" ht="21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</row>
    <row r="452" ht="21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</row>
    <row r="453" ht="21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</row>
    <row r="454" ht="21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</row>
    <row r="455" ht="21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</row>
    <row r="456" ht="21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</row>
    <row r="457" ht="21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</row>
    <row r="458" ht="21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</row>
    <row r="459" ht="21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</row>
    <row r="460" ht="21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</row>
    <row r="461" ht="21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</row>
    <row r="462" ht="21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</row>
    <row r="463" ht="21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</row>
    <row r="464" ht="21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</row>
    <row r="465" ht="21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</row>
    <row r="466" ht="21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</row>
    <row r="467" ht="21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</row>
    <row r="468" ht="21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</row>
    <row r="469" ht="21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</row>
    <row r="470" ht="21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</row>
    <row r="471" ht="21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</row>
    <row r="472" ht="21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</row>
    <row r="473" ht="21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</row>
    <row r="474" ht="21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</row>
    <row r="475" ht="21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</row>
    <row r="476" ht="21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</row>
    <row r="477" ht="21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</row>
    <row r="478" ht="21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</row>
    <row r="479" ht="21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</row>
    <row r="480" ht="21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</row>
    <row r="481" ht="21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</row>
    <row r="482" ht="21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</row>
    <row r="483" ht="21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</row>
    <row r="484" ht="21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</row>
    <row r="485" ht="21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</row>
    <row r="486" ht="21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</row>
    <row r="487" ht="21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</row>
    <row r="488" ht="21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</row>
    <row r="489" ht="21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</row>
    <row r="490" ht="21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</row>
    <row r="491" ht="21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</row>
    <row r="492" ht="21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</row>
    <row r="493" ht="21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</row>
    <row r="494" ht="21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</row>
    <row r="495" ht="21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</row>
    <row r="496" ht="21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</row>
    <row r="497" ht="21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</row>
    <row r="498" ht="21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</row>
    <row r="499" ht="21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</row>
    <row r="500" ht="21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</row>
    <row r="501" ht="21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</row>
    <row r="502" ht="21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</row>
    <row r="503" ht="21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</row>
    <row r="504" ht="21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</row>
    <row r="505" ht="21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</row>
    <row r="506" ht="21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</row>
    <row r="507" ht="21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</row>
    <row r="508" ht="21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</row>
    <row r="509" ht="21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</row>
    <row r="510" ht="21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</row>
    <row r="511" ht="21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</row>
    <row r="512" ht="21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</row>
    <row r="513" ht="21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</row>
    <row r="514" ht="21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</row>
    <row r="515" ht="21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</row>
    <row r="516" ht="21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</row>
    <row r="517" ht="21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</row>
    <row r="518" ht="21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</row>
    <row r="519" ht="21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</row>
    <row r="520" ht="21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</row>
    <row r="521" ht="21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</row>
    <row r="522" ht="21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</row>
    <row r="523" ht="21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</row>
    <row r="524" ht="21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</row>
    <row r="525" ht="21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</row>
    <row r="526" ht="21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</row>
    <row r="527" ht="21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</row>
    <row r="528" ht="21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</row>
    <row r="529" ht="21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</row>
    <row r="530" ht="21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</row>
    <row r="531" ht="21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</row>
    <row r="532" ht="21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</row>
    <row r="533" ht="21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</row>
    <row r="534" ht="21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</row>
    <row r="535" ht="21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</row>
    <row r="536" ht="21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</row>
    <row r="537" ht="21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</row>
    <row r="538" ht="21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</row>
    <row r="539" ht="21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</row>
    <row r="540" ht="21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</row>
    <row r="541" ht="21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</row>
    <row r="542" ht="21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</row>
    <row r="543" ht="21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</row>
    <row r="544" ht="21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</row>
    <row r="545" ht="21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</row>
    <row r="546" ht="21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</row>
    <row r="547" ht="21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</row>
    <row r="548" ht="21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</row>
    <row r="549" ht="21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</row>
    <row r="550" ht="21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</row>
    <row r="551" ht="21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</row>
    <row r="552" ht="21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</row>
    <row r="553" ht="21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</row>
    <row r="554" ht="21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</row>
    <row r="555" ht="21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</row>
    <row r="556" ht="21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</row>
    <row r="557" ht="21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</row>
    <row r="558" ht="21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</row>
    <row r="559" ht="21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</row>
    <row r="560" ht="21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</row>
    <row r="561" ht="21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</row>
    <row r="562" ht="21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</row>
    <row r="563" ht="21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</row>
    <row r="564" ht="21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</row>
    <row r="565" ht="21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</row>
    <row r="566" ht="21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</row>
    <row r="567" ht="21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</row>
    <row r="568" ht="21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</row>
    <row r="569" ht="21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</row>
    <row r="570" ht="21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</row>
    <row r="571" ht="21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</row>
    <row r="572" ht="21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</row>
    <row r="573" ht="21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</row>
    <row r="574" ht="21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</row>
    <row r="575" ht="21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</row>
    <row r="576" ht="21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</row>
    <row r="577" ht="21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</row>
    <row r="578" ht="21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</row>
    <row r="579" ht="21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</row>
    <row r="580" ht="21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</row>
    <row r="581" ht="21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</row>
    <row r="582" ht="21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</row>
    <row r="583" ht="21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</row>
    <row r="584" ht="21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</row>
    <row r="585" ht="21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</row>
    <row r="586" ht="21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</row>
    <row r="587" ht="21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</row>
    <row r="588" ht="21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</row>
    <row r="589" ht="21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</row>
    <row r="590" ht="21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</row>
    <row r="591" ht="21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</row>
    <row r="592" ht="21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</row>
    <row r="593" ht="21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</row>
    <row r="594" ht="21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</row>
    <row r="595" ht="21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</row>
    <row r="596" ht="21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</row>
    <row r="597" ht="21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</row>
    <row r="598" ht="21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</row>
    <row r="599" ht="21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</row>
    <row r="600" ht="21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</row>
    <row r="601" ht="21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</row>
    <row r="602" ht="21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</row>
    <row r="603" ht="21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</row>
    <row r="604" ht="21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</row>
    <row r="605" ht="21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</row>
    <row r="606" ht="21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</row>
    <row r="607" ht="21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</row>
    <row r="608" ht="21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</row>
    <row r="609" ht="21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</row>
    <row r="610" ht="21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</row>
    <row r="611" ht="21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</row>
    <row r="612" ht="21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</row>
    <row r="613" ht="21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</row>
    <row r="614" ht="21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</row>
    <row r="615" ht="21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</row>
    <row r="616" ht="21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</row>
    <row r="617" ht="21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</row>
    <row r="618" ht="21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</row>
    <row r="619" ht="21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</row>
    <row r="620" ht="21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</row>
    <row r="621" ht="21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</row>
    <row r="622" ht="21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</row>
    <row r="623" ht="21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</row>
    <row r="624" ht="21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</row>
    <row r="625" ht="21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</row>
    <row r="626" ht="21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</row>
    <row r="627" ht="21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</row>
    <row r="628" ht="21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</row>
    <row r="629" ht="21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</row>
    <row r="630" ht="21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</row>
    <row r="631" ht="21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</row>
    <row r="632" ht="21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</row>
    <row r="633" ht="21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</row>
    <row r="634" ht="21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</row>
    <row r="635" ht="21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</row>
    <row r="636" ht="21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</row>
    <row r="637" ht="21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</row>
    <row r="638" ht="21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</row>
    <row r="639" ht="21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</row>
    <row r="640" ht="21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</row>
    <row r="641" ht="21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</row>
    <row r="642" ht="21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</row>
    <row r="643" ht="21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</row>
    <row r="644" ht="21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</row>
    <row r="645" ht="21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</row>
    <row r="646" ht="21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</row>
    <row r="647" ht="21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</row>
    <row r="648" ht="21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</row>
    <row r="649" ht="21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</row>
    <row r="650" ht="21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</row>
    <row r="651" ht="21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</row>
    <row r="652" ht="21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</row>
    <row r="653" ht="21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</row>
    <row r="654" ht="21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</row>
    <row r="655" ht="21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</row>
    <row r="656" ht="21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</row>
    <row r="657" ht="21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</row>
    <row r="658" ht="21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</row>
    <row r="659" ht="21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</row>
    <row r="660" ht="21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</row>
    <row r="661" ht="21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</row>
    <row r="662" ht="21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</row>
    <row r="663" ht="21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</row>
    <row r="664" ht="21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</row>
    <row r="665" ht="21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</row>
    <row r="666" ht="21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</row>
    <row r="667" ht="21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</row>
    <row r="668" ht="21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</row>
    <row r="669" ht="21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</row>
    <row r="670" ht="21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</row>
    <row r="671" ht="21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</row>
    <row r="672" ht="21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</row>
    <row r="673" ht="21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</row>
    <row r="674" ht="21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</row>
    <row r="675" ht="21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</row>
    <row r="676" ht="21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</row>
    <row r="677" ht="21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</row>
    <row r="678" ht="21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</row>
    <row r="679" ht="21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</row>
    <row r="680" ht="21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</row>
    <row r="681" ht="21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</row>
    <row r="682" ht="21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</row>
    <row r="683" ht="21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</row>
    <row r="684" ht="21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</row>
    <row r="685" ht="21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</row>
    <row r="686" ht="21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</row>
    <row r="687" ht="21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</row>
    <row r="688" ht="21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</row>
    <row r="689" ht="21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</row>
    <row r="690" ht="21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</row>
    <row r="691" ht="21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</row>
    <row r="692" ht="21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</row>
    <row r="693" ht="21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</row>
    <row r="694" ht="21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</row>
    <row r="695" ht="21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</row>
    <row r="696" ht="21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</row>
    <row r="697" ht="21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</row>
    <row r="698" ht="21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</row>
    <row r="699" ht="21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</row>
    <row r="700" ht="21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</row>
    <row r="701" ht="21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</row>
    <row r="702" ht="21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</row>
    <row r="703" ht="21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</row>
    <row r="704" ht="21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</row>
    <row r="705" ht="21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</row>
    <row r="706" ht="21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</row>
    <row r="707" ht="21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</row>
    <row r="708" ht="21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</row>
    <row r="709" ht="21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</row>
    <row r="710" ht="21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</row>
    <row r="711" ht="21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</row>
    <row r="712" ht="21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</row>
    <row r="713" ht="21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</row>
    <row r="714" ht="21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</row>
    <row r="715" ht="21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</row>
    <row r="716" ht="21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</row>
    <row r="717" ht="21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</row>
    <row r="718" ht="21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</row>
    <row r="719" ht="21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</row>
    <row r="720" ht="21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</row>
    <row r="721" ht="21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</row>
    <row r="722" ht="21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</row>
    <row r="723" ht="21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</row>
    <row r="724" ht="21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</row>
    <row r="725" ht="21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</row>
    <row r="726" ht="21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</row>
    <row r="727" ht="21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</row>
    <row r="728" ht="21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</row>
    <row r="729" ht="21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</row>
    <row r="730" ht="21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</row>
    <row r="731" ht="21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</row>
    <row r="732" ht="21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</row>
    <row r="733" ht="21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</row>
    <row r="734" ht="21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</row>
    <row r="735" ht="21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</row>
    <row r="736" ht="21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</row>
    <row r="737" ht="21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</row>
    <row r="738" ht="21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</row>
    <row r="739" ht="21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</row>
    <row r="740" ht="21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</row>
    <row r="741" ht="21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</row>
    <row r="742" ht="21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</row>
    <row r="743" ht="21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</row>
    <row r="744" ht="21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</row>
    <row r="745" ht="21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</row>
    <row r="746" ht="21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</row>
    <row r="747" ht="21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</row>
    <row r="748" ht="21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</row>
    <row r="749" ht="21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</row>
    <row r="750" ht="21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</row>
    <row r="751" ht="21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</row>
    <row r="752" ht="21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</row>
    <row r="753" ht="21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</row>
    <row r="754" ht="21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</row>
    <row r="755" ht="21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</row>
    <row r="756" ht="21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</row>
    <row r="757" ht="21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</row>
    <row r="758" ht="21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</row>
    <row r="759" ht="21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</row>
    <row r="760" ht="21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</row>
    <row r="761" ht="21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</row>
    <row r="762" ht="21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</row>
    <row r="763" ht="21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</row>
    <row r="764" ht="21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</row>
    <row r="765" ht="21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</row>
    <row r="766" ht="21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</row>
    <row r="767" ht="21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</row>
    <row r="768" ht="21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</row>
    <row r="769" ht="21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</row>
    <row r="770" ht="21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</row>
    <row r="771" ht="21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</row>
    <row r="772" ht="21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</row>
    <row r="773" ht="21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</row>
    <row r="774" ht="21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</row>
    <row r="775" ht="21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</row>
    <row r="776" ht="21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</row>
    <row r="777" ht="21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</row>
    <row r="778" ht="21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</row>
    <row r="779" ht="21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</row>
    <row r="780" ht="21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</row>
    <row r="781" ht="21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</row>
    <row r="782" ht="21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</row>
    <row r="783" ht="21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</row>
    <row r="784" ht="21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</row>
    <row r="785" ht="21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</row>
    <row r="786" ht="21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</row>
    <row r="787" ht="21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</row>
    <row r="788" ht="21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</row>
    <row r="789" ht="21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</row>
    <row r="790" ht="21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</row>
    <row r="791" ht="21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</row>
    <row r="792" ht="21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</row>
    <row r="793" ht="21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</row>
    <row r="794" ht="21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</row>
    <row r="795" ht="21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</row>
    <row r="796" ht="21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</row>
    <row r="797" ht="21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</row>
    <row r="798" ht="21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</row>
    <row r="799" ht="21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</row>
    <row r="800" ht="21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</row>
    <row r="801" ht="21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</row>
    <row r="802" ht="21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</row>
    <row r="803" ht="21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</row>
    <row r="804" ht="21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</row>
    <row r="805" ht="21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</row>
    <row r="806" ht="21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</row>
    <row r="807" ht="21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</row>
    <row r="808" ht="21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</row>
    <row r="809" ht="21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</row>
    <row r="810" ht="21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</row>
    <row r="811" ht="21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</row>
    <row r="812" ht="21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</row>
    <row r="813" ht="21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</row>
    <row r="814" ht="21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</row>
    <row r="815" ht="21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</row>
    <row r="816" ht="21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</row>
    <row r="817" ht="21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</row>
    <row r="818" ht="21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</row>
    <row r="819" ht="21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</row>
    <row r="820" ht="21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</row>
    <row r="821" ht="21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</row>
    <row r="822" ht="21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</row>
    <row r="823" ht="21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</row>
    <row r="824" ht="21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</row>
    <row r="825" ht="21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</row>
    <row r="826" ht="21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</row>
    <row r="827" ht="21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</row>
    <row r="828" ht="21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</row>
    <row r="829" ht="21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</row>
    <row r="830" ht="21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</row>
    <row r="831" ht="21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</row>
    <row r="832" ht="21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</row>
    <row r="833" ht="21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</row>
    <row r="834" ht="21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</row>
    <row r="835" ht="21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</row>
    <row r="836" ht="21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</row>
    <row r="837" ht="21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</row>
    <row r="838" ht="21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</row>
    <row r="839" ht="21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</row>
    <row r="840" ht="21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</row>
    <row r="841" ht="21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</row>
    <row r="842" ht="21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</row>
    <row r="843" ht="21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</row>
    <row r="844" ht="21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</row>
    <row r="845" ht="21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</row>
    <row r="846" ht="21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</row>
    <row r="847" ht="21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</row>
    <row r="848" ht="21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</row>
    <row r="849" ht="21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</row>
    <row r="850" ht="21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</row>
    <row r="851" ht="21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</row>
    <row r="852" ht="21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</row>
    <row r="853" ht="21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</row>
    <row r="854" ht="21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</row>
    <row r="855" ht="21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</row>
    <row r="856" ht="21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</row>
    <row r="857" ht="21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</row>
    <row r="858" ht="21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</row>
    <row r="859" ht="21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</row>
    <row r="860" ht="21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</row>
    <row r="861" ht="21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</row>
    <row r="862" ht="21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</row>
    <row r="863" ht="21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</row>
    <row r="864" ht="21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</row>
    <row r="865" ht="21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</row>
    <row r="866" ht="21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</row>
    <row r="867" ht="21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</row>
    <row r="868" ht="21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</row>
    <row r="869" ht="21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</row>
    <row r="870" ht="21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</row>
    <row r="871" ht="21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</row>
    <row r="872" ht="21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</row>
    <row r="873" ht="21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</row>
    <row r="874" ht="21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</row>
    <row r="875" ht="21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</row>
    <row r="876" ht="21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</row>
    <row r="877" ht="21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</row>
    <row r="878" ht="21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</row>
    <row r="879" ht="21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</row>
    <row r="880" ht="21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</row>
    <row r="881" ht="21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</row>
    <row r="882" ht="21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</row>
    <row r="883" ht="21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</row>
    <row r="884" ht="21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</row>
    <row r="885" ht="21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</row>
    <row r="886" ht="21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</row>
    <row r="887" ht="21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</row>
    <row r="888" ht="21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</row>
    <row r="889" ht="21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</row>
    <row r="890" ht="21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</row>
    <row r="891" ht="21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</row>
    <row r="892" ht="21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</row>
    <row r="893" ht="21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</row>
    <row r="894" ht="21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</row>
    <row r="895" ht="21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</row>
    <row r="896" ht="21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</row>
    <row r="897" ht="21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</row>
    <row r="898" ht="21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</row>
    <row r="899" ht="21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</row>
    <row r="900" ht="21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</row>
    <row r="901" ht="21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</row>
    <row r="902" ht="21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</row>
    <row r="903" ht="21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</row>
    <row r="904" ht="21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</row>
    <row r="905" ht="21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</row>
    <row r="906" ht="21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</row>
    <row r="907" ht="21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</row>
    <row r="908" ht="21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</row>
    <row r="909" ht="21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</row>
    <row r="910" ht="21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</row>
    <row r="911" ht="21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</row>
    <row r="912" ht="21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</row>
    <row r="913" ht="21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</row>
    <row r="914" ht="21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</row>
    <row r="915" ht="21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</row>
    <row r="916" ht="21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</row>
    <row r="917" ht="21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</row>
    <row r="918" ht="21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</row>
    <row r="919" ht="21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</row>
    <row r="920" ht="21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</row>
    <row r="921" ht="21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</row>
    <row r="922" ht="21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</row>
    <row r="923" ht="21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</row>
    <row r="924" ht="21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</row>
    <row r="925" ht="21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</row>
    <row r="926" ht="21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</row>
    <row r="927" ht="21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</row>
    <row r="928" ht="21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</row>
    <row r="929" ht="21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</row>
    <row r="930" ht="21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</row>
    <row r="931" ht="21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</row>
    <row r="932" ht="21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</row>
    <row r="933" ht="21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</row>
    <row r="934" ht="21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</row>
    <row r="935" ht="21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</row>
    <row r="936" ht="21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</row>
    <row r="937" ht="21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</row>
    <row r="938" ht="21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</row>
    <row r="939" ht="21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</row>
    <row r="940" ht="21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</row>
    <row r="941" ht="21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</row>
    <row r="942" ht="21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</row>
    <row r="943" ht="21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</row>
    <row r="944" ht="21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</row>
    <row r="945" ht="21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</row>
    <row r="946" ht="21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</row>
    <row r="947" ht="21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</row>
    <row r="948" ht="21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</row>
    <row r="949" ht="21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</row>
    <row r="950" ht="21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</row>
    <row r="951" ht="21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</row>
    <row r="952" ht="21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</row>
    <row r="953" ht="21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</row>
    <row r="954" ht="21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</row>
    <row r="955" ht="21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</row>
    <row r="956" ht="21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</row>
    <row r="957" ht="21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</row>
    <row r="958" ht="21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</row>
    <row r="959" ht="21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</row>
    <row r="960" ht="21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</row>
    <row r="961" ht="21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</row>
    <row r="962" ht="21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</row>
    <row r="963" ht="21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</row>
    <row r="964" ht="21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</row>
    <row r="965" ht="21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</row>
    <row r="966" ht="21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</row>
    <row r="967" ht="21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</row>
    <row r="968" ht="21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</row>
    <row r="969" ht="21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</row>
    <row r="970" ht="21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</row>
    <row r="971" ht="21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</row>
    <row r="972" ht="21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</row>
    <row r="973" ht="21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</row>
    <row r="974" ht="21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</row>
    <row r="975" ht="21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</row>
    <row r="976" ht="21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</row>
    <row r="977" ht="21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</row>
    <row r="978" ht="21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</row>
    <row r="979" ht="21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</row>
    <row r="980" ht="21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</row>
    <row r="981" ht="21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</row>
    <row r="982" ht="21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</row>
    <row r="983" ht="21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</row>
    <row r="984" ht="21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</row>
    <row r="985" ht="21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</row>
    <row r="986" ht="21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</row>
    <row r="987" ht="21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</row>
    <row r="988" ht="21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</row>
    <row r="989" ht="21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</row>
    <row r="990" ht="21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</row>
    <row r="991" ht="21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</row>
    <row r="992" ht="21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2026-05-24T13:25:20Z</dcterms:created>
  <dc:creator>openpyxl</dc:creator>
</cp:coreProperties>
</file>